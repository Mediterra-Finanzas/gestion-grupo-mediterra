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lujo Consolidado" sheetId="1" r:id="rId1"/>
    <sheet name="Conciliación" sheetId="2" r:id="rId3"/>
  </sheets>
</workbook>
</file>

<file path=xl/styles.xml><?xml version="1.0" encoding="utf-8"?>
<styleSheet xmlns="http://schemas.openxmlformats.org/spreadsheetml/2006/main">
  <numFmts count="1">
    <numFmt numFmtId="164" formatCode="#,##0;[Red]-#,##0"/>
  </numFmts>
  <fonts count="8">
    <font>
      <sz val="11"/>
      <name val="Calibri"/>
    </font>
    <font>
      <sz val="11"/>
      <b/>
      <color rgb="FFFFFFFF"/>
      <name val="Calibri"/>
    </font>
    <font/>
    <font/>
    <font/>
    <font>
      <sz val="16"/>
      <b/>
      <color rgb="FF0F2D4A"/>
      <name val="Calibri"/>
    </font>
    <font>
      <sz val="11"/>
      <i/>
      <color rgb="FF64748B"/>
      <name val="Calibri"/>
    </font>
    <font>
      <sz val="11"/>
      <b/>
      <color rgb="FF0F2D4A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F2D4A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14">
    <xf numFmtId="0" fontId="0" fillId="0" borderId="1" xfId="0">
      <alignment vertical="center"/>
    </xf>
    <xf numFmtId="0" fontId="1" fillId="2" borderId="0" xfId="0">
      <alignment horizontal="center" vertical="center" wrapText="1"/>
    </xf>
    <xf/>
    <xf/>
    <xf/>
    <xf numFmtId="0" fontId="5" fillId="0" borderId="0" xfId="0">
      <alignment horizontal="left" vertical="center" indent="1"/>
    </xf>
    <xf numFmtId="0" fontId="6" fillId="0" borderId="0" xfId="0">
      <alignment horizontal="left" vertical="center" indent="1"/>
    </xf>
    <xf numFmtId="0" fontId="7" fillId="4" borderId="1" xfId="0">
      <alignment vertical="center"/>
    </xf>
    <xf numFmtId="0" fontId="7" fillId="5" borderId="1" xfId="0">
      <alignment vertical="center"/>
    </xf>
    <xf numFmtId="0" fontId="7" fillId="3" borderId="1" xfId="0">
      <alignment vertical="center"/>
    </xf>
    <xf numFmtId="164" fontId="0" fillId="0" borderId="1" xfId="0">
      <alignment horizontal="right" vertical="center"/>
    </xf>
    <xf numFmtId="164" fontId="7" fillId="4" borderId="1" xfId="0">
      <alignment horizontal="right" vertical="center"/>
    </xf>
    <xf numFmtId="164" fontId="7" fillId="5" borderId="1" xfId="0">
      <alignment horizontal="right" vertical="center"/>
    </xf>
    <xf numFmtId="164" fontId="7" fillId="3" borderId="1" xfId="0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4" xSplit="1" topLeftCell="B5" activePane="bottomRight" state="frozen"/>
    </sheetView>
  </sheetViews>
  <cols>
    <col min="1" max="1" width="38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22" customWidth="1"/>
    <col min="9" max="9" width="20" customWidth="1"/>
    <col min="10" max="10" width="20" customWidth="1"/>
  </cols>
  <sheetData>
    <row r="1" ht="28" customHeight="1">
      <c r="A1" t="inlineStr" s="5">
        <is>
          <t>Flujo de Caja Consolidado — Grupo Mediterra</t>
        </is>
      </c>
    </row>
    <row r="2" ht="18" customHeight="1">
      <c r="A2" t="inlineStr" s="6">
        <is>
          <t>Temporada 2026-2027 · Exportado 13-10-2026</t>
        </is>
      </c>
    </row>
    <row r="3" ht="10" customHeight="1"/>
    <row r="4" ht="24" customHeight="1">
      <c r="A4" t="inlineStr" s="1">
        <is>
          <t>Concepto</t>
        </is>
      </c>
      <c r="B4" t="inlineStr" s="1">
        <is>
          <t>Mediterra</t>
        </is>
      </c>
      <c r="C4" t="inlineStr" s="1">
        <is>
          <t>Allegria Service</t>
        </is>
      </c>
      <c r="D4" t="inlineStr" s="1">
        <is>
          <t>Frisku Foods</t>
        </is>
      </c>
      <c r="E4" t="inlineStr" s="1">
        <is>
          <t>Integrity Farms</t>
        </is>
      </c>
      <c r="F4" t="inlineStr" s="1">
        <is>
          <t>Osiris</t>
        </is>
      </c>
      <c r="G4" t="inlineStr" s="1">
        <is>
          <t>Allegria Foods</t>
        </is>
      </c>
      <c r="H4" t="inlineStr" s="1">
        <is>
          <t>Total Consolidado (6 sociedades)</t>
        </is>
      </c>
      <c r="I4" t="inlineStr" s="1">
        <is>
          <t>Allpa Farms (JV · no suma)</t>
        </is>
      </c>
      <c r="J4" t="inlineStr" s="1">
        <is>
          <t>Allpa Farms Perú (JV · no suma)</t>
        </is>
      </c>
    </row>
    <row r="5" ht="20" customHeight="1">
      <c r="A5" t="inlineStr" s="0">
        <is>
          <t>Fecha del saldo bancario de corte</t>
        </is>
      </c>
      <c r="B5" t="inlineStr" s="0">
        <is>
          <t>04-10-2026 a 10-10-2026 (cuentas con fechas distintas) · mes del corte Oct-26</t>
        </is>
      </c>
      <c r="C5" t="inlineStr" s="0">
        <is>
          <t>12-10-2026 · mes del corte Oct-26</t>
        </is>
      </c>
      <c r="D5" t="inlineStr" s="0">
        <is>
          <t>09-10-2026 · mes del corte Oct-26</t>
        </is>
      </c>
      <c r="E5" t="inlineStr" s="0">
        <is>
          <t>08-10-2026 · mes del corte Oct-26</t>
        </is>
      </c>
      <c r="F5" t="inlineStr" s="0">
        <is>
          <t>11-10-2026 · mes del corte Oct-26</t>
        </is>
      </c>
      <c r="G5" t="inlineStr" s="0">
        <is>
          <t>15-09-2026 · mes del corte Sep-26</t>
        </is>
      </c>
      <c r="H5" t="inlineStr" s="0">
        <is>
          <t>15-09-2026 a 12-10-2026</t>
        </is>
      </c>
      <c r="I5" t="inlineStr" s="0">
        <is>
          <t>sin saldo bancario: saldo base, sin fecha · desde Oct-26</t>
        </is>
      </c>
      <c r="J5" t="inlineStr" s="0">
        <is>
          <t>sin saldo bancario: saldo base, sin fecha · desde Oct-26</t>
        </is>
      </c>
    </row>
    <row r="6" ht="20" customHeight="1">
      <c r="A6" t="inlineStr" s="9">
        <is>
          <t>Saldo bancario al corte (USD)</t>
        </is>
      </c>
      <c r="B6" s="13">
        <v>100000</v>
      </c>
      <c r="C6" s="13">
        <v>31000</v>
      </c>
      <c r="D6" t="inlineStr" s="13">
        <is>
          <t>0</t>
        </is>
      </c>
      <c r="E6" s="13">
        <v>22000</v>
      </c>
      <c r="F6" s="13">
        <v>50000</v>
      </c>
      <c r="G6" s="13">
        <v>17433</v>
      </c>
      <c r="H6" s="13">
        <f>SUM(B6:G6)</f>
        <v>220433</v>
      </c>
      <c r="I6" s="13">
        <v>1828</v>
      </c>
      <c r="J6" s="13">
        <v>208000</v>
      </c>
    </row>
    <row r="7" ht="20" customHeight="1">
      <c r="A7" t="inlineStr" s="0">
        <is>
          <t>Ingresos</t>
        </is>
      </c>
      <c r="B7" s="10">
        <v>860000</v>
      </c>
      <c r="C7" t="inlineStr" s="10">
        <is>
          <t>0</t>
        </is>
      </c>
      <c r="D7" s="10">
        <v>1208373</v>
      </c>
      <c r="E7" t="inlineStr" s="10">
        <is>
          <t>0</t>
        </is>
      </c>
      <c r="F7" s="10">
        <v>4400000</v>
      </c>
      <c r="G7" t="inlineStr" s="10">
        <is>
          <t>0</t>
        </is>
      </c>
      <c r="H7" s="10">
        <f>SUM(B7:G7)</f>
        <v>6468373</v>
      </c>
      <c r="I7" t="inlineStr" s="10">
        <is>
          <t>0</t>
        </is>
      </c>
      <c r="J7" s="10">
        <v>549431.41</v>
      </c>
    </row>
    <row r="8" ht="20" customHeight="1">
      <c r="A8" t="inlineStr" s="0">
        <is>
          <t>Egresos Operacionales</t>
        </is>
      </c>
      <c r="B8" s="10">
        <v>-703268</v>
      </c>
      <c r="C8" s="10">
        <v>-476748</v>
      </c>
      <c r="D8" s="10">
        <v>-528094</v>
      </c>
      <c r="E8" s="10">
        <v>-98850</v>
      </c>
      <c r="F8" s="10">
        <v>-692549</v>
      </c>
      <c r="G8" s="10">
        <v>-289678</v>
      </c>
      <c r="H8" s="10">
        <f>SUM(B8:G8)</f>
        <v>-2789187</v>
      </c>
      <c r="I8" s="10">
        <v>-335638.88</v>
      </c>
      <c r="J8" s="10">
        <v>-1767149.017316</v>
      </c>
    </row>
    <row r="9" ht="20" customHeight="1">
      <c r="A9" t="inlineStr" s="0">
        <is>
          <t>Impuestos</t>
        </is>
      </c>
      <c r="B9" s="10">
        <v>-208000</v>
      </c>
      <c r="C9" s="10">
        <v>-63255</v>
      </c>
      <c r="D9" s="10">
        <v>-51000</v>
      </c>
      <c r="E9" t="inlineStr" s="10">
        <is>
          <t>0</t>
        </is>
      </c>
      <c r="F9" t="inlineStr" s="10">
        <is>
          <t>0</t>
        </is>
      </c>
      <c r="G9" s="10">
        <v>-6300</v>
      </c>
      <c r="H9" s="10">
        <f>SUM(B9:G9)</f>
        <v>-328555</v>
      </c>
      <c r="I9" s="10">
        <v>-4800</v>
      </c>
      <c r="J9" t="inlineStr" s="10">
        <is>
          <t>0</t>
        </is>
      </c>
    </row>
    <row r="10" ht="20" customHeight="1">
      <c r="A10" t="inlineStr" s="7">
        <is>
          <t>Flujo Caja Operacional</t>
        </is>
      </c>
      <c r="B10" s="11">
        <v>-51268</v>
      </c>
      <c r="C10" s="11">
        <v>-540003</v>
      </c>
      <c r="D10" s="11">
        <v>629279</v>
      </c>
      <c r="E10" s="11">
        <v>-98850</v>
      </c>
      <c r="F10" s="11">
        <v>3707451</v>
      </c>
      <c r="G10" s="11">
        <v>-295978</v>
      </c>
      <c r="H10" s="11">
        <f>SUM(B10:G10)</f>
        <v>3350631</v>
      </c>
      <c r="I10" s="11">
        <v>-340438.88</v>
      </c>
      <c r="J10" s="11">
        <v>-1217717.607316</v>
      </c>
    </row>
    <row r="11" ht="20" customHeight="1">
      <c r="A11" t="inlineStr" s="0">
        <is>
          <t>Call de Capital</t>
        </is>
      </c>
      <c r="B11" t="inlineStr" s="10">
        <is>
          <t>0</t>
        </is>
      </c>
      <c r="C11" t="inlineStr" s="10">
        <is>
          <t>0</t>
        </is>
      </c>
      <c r="D11" t="inlineStr" s="10">
        <is>
          <t>0</t>
        </is>
      </c>
      <c r="E11" t="inlineStr" s="10">
        <is>
          <t>0</t>
        </is>
      </c>
      <c r="F11" t="inlineStr" s="10">
        <is>
          <t>0</t>
        </is>
      </c>
      <c r="G11" t="inlineStr" s="10">
        <is>
          <t>0</t>
        </is>
      </c>
      <c r="H11" s="10">
        <f>SUM(B11:G11)</f>
        <v>0</v>
      </c>
      <c r="I11" t="inlineStr" s="10">
        <is>
          <t>0</t>
        </is>
      </c>
      <c r="J11" t="inlineStr" s="10">
        <is>
          <t>0</t>
        </is>
      </c>
    </row>
    <row r="12" ht="20" customHeight="1">
      <c r="A12" t="inlineStr" s="0">
        <is>
          <t>Financiamiento</t>
        </is>
      </c>
      <c r="B12" t="inlineStr" s="10">
        <is>
          <t>0</t>
        </is>
      </c>
      <c r="C12" t="inlineStr" s="10">
        <is>
          <t>0</t>
        </is>
      </c>
      <c r="D12" t="inlineStr" s="10">
        <is>
          <t>0</t>
        </is>
      </c>
      <c r="E12" t="inlineStr" s="10">
        <is>
          <t>0</t>
        </is>
      </c>
      <c r="F12" t="inlineStr" s="10">
        <is>
          <t>0</t>
        </is>
      </c>
      <c r="G12" t="inlineStr" s="10">
        <is>
          <t>0</t>
        </is>
      </c>
      <c r="H12" s="10">
        <f>SUM(B12:G12)</f>
        <v>0</v>
      </c>
      <c r="I12" t="inlineStr" s="10">
        <is>
          <t>0</t>
        </is>
      </c>
      <c r="J12" t="inlineStr" s="10">
        <is>
          <t>0</t>
        </is>
      </c>
    </row>
    <row r="13" ht="20" customHeight="1">
      <c r="A13" t="inlineStr" s="0">
        <is>
          <t>Pago Créditos / Leasing / Hipotecarios</t>
        </is>
      </c>
      <c r="B13" s="10">
        <v>-1000000</v>
      </c>
      <c r="C13" t="inlineStr" s="10">
        <is>
          <t>0</t>
        </is>
      </c>
      <c r="D13" t="inlineStr" s="10">
        <is>
          <t>0</t>
        </is>
      </c>
      <c r="E13" t="inlineStr" s="10">
        <is>
          <t>0</t>
        </is>
      </c>
      <c r="F13" s="10">
        <v>-200000</v>
      </c>
      <c r="G13" t="inlineStr" s="10">
        <is>
          <t>0</t>
        </is>
      </c>
      <c r="H13" s="10">
        <f>SUM(B13:G13)</f>
        <v>-1200000</v>
      </c>
      <c r="I13" s="10">
        <v>-300000</v>
      </c>
      <c r="J13" t="inlineStr" s="10">
        <is>
          <t>0</t>
        </is>
      </c>
    </row>
    <row r="14" ht="20" customHeight="1">
      <c r="A14" t="inlineStr" s="0">
        <is>
          <t>Dividendos Recibidos / Ingreso Renovación</t>
        </is>
      </c>
      <c r="B14" t="inlineStr" s="10">
        <is>
          <t>0</t>
        </is>
      </c>
      <c r="C14" t="inlineStr" s="10">
        <is>
          <t>0</t>
        </is>
      </c>
      <c r="D14" t="inlineStr" s="10">
        <is>
          <t>0</t>
        </is>
      </c>
      <c r="E14" t="inlineStr" s="10">
        <is>
          <t>0</t>
        </is>
      </c>
      <c r="F14" t="inlineStr" s="10">
        <is>
          <t>0</t>
        </is>
      </c>
      <c r="G14" t="inlineStr" s="10">
        <is>
          <t>0</t>
        </is>
      </c>
      <c r="H14" s="10">
        <f>SUM(B14:G14)</f>
        <v>0</v>
      </c>
      <c r="I14" t="inlineStr" s="10">
        <is>
          <t>0</t>
        </is>
      </c>
      <c r="J14" t="inlineStr" s="10">
        <is>
          <t>0</t>
        </is>
      </c>
    </row>
    <row r="15" ht="20" customHeight="1">
      <c r="A15" t="inlineStr" s="0">
        <is>
          <t>Inversiones / Renovaciones</t>
        </is>
      </c>
      <c r="B15" t="inlineStr" s="10">
        <is>
          <t>0</t>
        </is>
      </c>
      <c r="C15" t="inlineStr" s="10">
        <is>
          <t>0</t>
        </is>
      </c>
      <c r="D15" t="inlineStr" s="10">
        <is>
          <t>0</t>
        </is>
      </c>
      <c r="E15" t="inlineStr" s="10">
        <is>
          <t>0</t>
        </is>
      </c>
      <c r="F15" t="inlineStr" s="10">
        <is>
          <t>0</t>
        </is>
      </c>
      <c r="G15" t="inlineStr" s="10">
        <is>
          <t>0</t>
        </is>
      </c>
      <c r="H15" s="10">
        <f>SUM(B15:G15)</f>
        <v>0</v>
      </c>
      <c r="I15" t="inlineStr" s="10">
        <is>
          <t>0</t>
        </is>
      </c>
      <c r="J15" t="inlineStr" s="10">
        <is>
          <t>0</t>
        </is>
      </c>
    </row>
    <row r="16" ht="20" customHeight="1">
      <c r="A16" t="inlineStr" s="0">
        <is>
          <t>Aportes de Capital</t>
        </is>
      </c>
      <c r="B16" t="inlineStr" s="10">
        <is>
          <t>0</t>
        </is>
      </c>
      <c r="C16" t="inlineStr" s="10">
        <is>
          <t>0</t>
        </is>
      </c>
      <c r="D16" t="inlineStr" s="10">
        <is>
          <t>0</t>
        </is>
      </c>
      <c r="E16" t="inlineStr" s="10">
        <is>
          <t>0</t>
        </is>
      </c>
      <c r="F16" t="inlineStr" s="10">
        <is>
          <t>0</t>
        </is>
      </c>
      <c r="G16" t="inlineStr" s="10">
        <is>
          <t>0</t>
        </is>
      </c>
      <c r="H16" s="10">
        <f>SUM(B16:G16)</f>
        <v>0</v>
      </c>
      <c r="I16" t="inlineStr" s="10">
        <is>
          <t>0</t>
        </is>
      </c>
      <c r="J16" t="inlineStr" s="10">
        <is>
          <t>0</t>
        </is>
      </c>
    </row>
    <row r="17" ht="20" customHeight="1">
      <c r="A17" t="inlineStr" s="0">
        <is>
          <t>Otros Ingresos No Operacionales</t>
        </is>
      </c>
      <c r="B17" t="inlineStr" s="10">
        <is>
          <t>0</t>
        </is>
      </c>
      <c r="C17" t="inlineStr" s="10">
        <is>
          <t>0</t>
        </is>
      </c>
      <c r="D17" t="inlineStr" s="10">
        <is>
          <t>0</t>
        </is>
      </c>
      <c r="E17" t="inlineStr" s="10">
        <is>
          <t>0</t>
        </is>
      </c>
      <c r="F17" t="inlineStr" s="10">
        <is>
          <t>0</t>
        </is>
      </c>
      <c r="G17" t="inlineStr" s="10">
        <is>
          <t>0</t>
        </is>
      </c>
      <c r="H17" s="10">
        <f>SUM(B17:G17)</f>
        <v>0</v>
      </c>
      <c r="I17" t="inlineStr" s="10">
        <is>
          <t>0</t>
        </is>
      </c>
      <c r="J17" t="inlineStr" s="10">
        <is>
          <t>0</t>
        </is>
      </c>
    </row>
    <row r="18" ht="20" customHeight="1">
      <c r="A18" t="inlineStr" s="7">
        <is>
          <t>Flujo Caja Capital</t>
        </is>
      </c>
      <c r="B18" s="11">
        <v>-1000000</v>
      </c>
      <c r="C18" t="inlineStr" s="11">
        <is>
          <t>0</t>
        </is>
      </c>
      <c r="D18" t="inlineStr" s="11">
        <is>
          <t>0</t>
        </is>
      </c>
      <c r="E18" t="inlineStr" s="11">
        <is>
          <t>0</t>
        </is>
      </c>
      <c r="F18" s="11">
        <v>-200000</v>
      </c>
      <c r="G18" t="inlineStr" s="11">
        <is>
          <t>0</t>
        </is>
      </c>
      <c r="H18" s="11">
        <f>SUM(B18:G18)</f>
        <v>-1200000</v>
      </c>
      <c r="I18" s="11">
        <v>-300000</v>
      </c>
      <c r="J18" t="inlineStr" s="11">
        <is>
          <t>0</t>
        </is>
      </c>
    </row>
    <row r="19" ht="20" customHeight="1">
      <c r="A19" t="inlineStr" s="8">
        <is>
          <t>Flujo proyectado posterior al mes del corte</t>
        </is>
      </c>
      <c r="B19" s="12">
        <v>-1051268</v>
      </c>
      <c r="C19" s="12">
        <v>-540003</v>
      </c>
      <c r="D19" s="12">
        <v>629279</v>
      </c>
      <c r="E19" s="12">
        <v>-98850</v>
      </c>
      <c r="F19" s="12">
        <v>3507451</v>
      </c>
      <c r="G19" s="12">
        <v>-295978</v>
      </c>
      <c r="H19" s="12">
        <f>SUM(B19:G19)</f>
        <v>2150631</v>
      </c>
      <c r="I19" s="12">
        <v>-640438.88</v>
      </c>
      <c r="J19" s="12">
        <v>-1217717.607316</v>
      </c>
    </row>
    <row r="20" ht="20" customHeight="1">
      <c r="A20" t="inlineStr" s="0">
        <is>
          <t>Proyección parcial (USD): mes del corte pendiente de conciliar</t>
        </is>
      </c>
      <c r="B20" s="10">
        <f>B6+B19</f>
        <v>-951268</v>
      </c>
      <c r="C20" s="10">
        <f>C6+C19</f>
        <v>-509003</v>
      </c>
      <c r="D20" s="10">
        <f>D6+D19</f>
        <v>629279</v>
      </c>
      <c r="E20" s="10">
        <f>E6+E19</f>
        <v>-76850</v>
      </c>
      <c r="F20" s="10">
        <f>F6+F19</f>
        <v>3557451</v>
      </c>
      <c r="G20" s="10">
        <f>G6+G19</f>
        <v>-278545</v>
      </c>
      <c r="H20" s="10">
        <f>SUM(B20:G20)</f>
        <v>2371064</v>
      </c>
      <c r="I20" s="10">
        <f>I6+I19</f>
        <v>-638610.88</v>
      </c>
      <c r="J20" s="10">
        <f>J6+J19</f>
        <v>-1009717.6073159999</v>
      </c>
    </row>
    <row r="21" ht="20" customHeight="1">
      <c r="A21" t="inlineStr" s="0">
        <is>
          <t>Fuera de la proyección parcial — no suma</t>
        </is>
      </c>
      <c r="B21" t="inlineStr" s="0">
        <is>
          <t/>
        </is>
      </c>
      <c r="C21" t="inlineStr" s="0">
        <is>
          <t/>
        </is>
      </c>
      <c r="D21" t="inlineStr" s="0">
        <is>
          <t/>
        </is>
      </c>
      <c r="E21" t="inlineStr" s="0">
        <is>
          <t/>
        </is>
      </c>
      <c r="F21" t="inlineStr" s="0">
        <is>
          <t/>
        </is>
      </c>
      <c r="G21" t="inlineStr" s="0">
        <is>
          <t/>
        </is>
      </c>
      <c r="H21" t="inlineStr" s="0">
        <is>
          <t/>
        </is>
      </c>
      <c r="I21" t="inlineStr" s="0">
        <is>
          <t/>
        </is>
      </c>
      <c r="J21" t="inlineStr" s="0">
        <is>
          <t/>
        </is>
      </c>
    </row>
    <row r="22" ht="20" customHeight="1">
      <c r="A22" t="inlineStr" s="0">
        <is>
          <t>Flujo del mes del corte EXCLUIDO, pendiente de conciliar (ver fecha del saldo de cada sociedad)</t>
        </is>
      </c>
      <c r="B22" s="10">
        <v>-3283.5</v>
      </c>
      <c r="C22" s="10">
        <v>-48399.5</v>
      </c>
      <c r="D22" s="10">
        <v>-22697</v>
      </c>
      <c r="E22" s="10">
        <v>-12400</v>
      </c>
      <c r="F22" s="10">
        <v>-87622</v>
      </c>
      <c r="G22" s="10">
        <v>-29252</v>
      </c>
      <c r="H22" s="10">
        <f>SUM(B22:G22)</f>
        <v>-203654</v>
      </c>
      <c r="I22" s="10">
        <v>-77044.41</v>
      </c>
      <c r="J22" s="10">
        <v>1057614.9688080007</v>
      </c>
    </row>
    <row r="23" ht="20" customHeight="1">
      <c r="A23" t="inlineStr" s="0">
        <is>
          <t>Simulación: si TODO el flujo del mes del corte estuviera pendiente (no es el saldo correcto, ni un mínimo, ni un máximo)</t>
        </is>
      </c>
      <c r="B23" s="10">
        <v>-954551.5</v>
      </c>
      <c r="C23" s="10">
        <v>-557402.5</v>
      </c>
      <c r="D23" s="10">
        <v>606582</v>
      </c>
      <c r="E23" s="10">
        <v>-89250</v>
      </c>
      <c r="F23" s="10">
        <v>3469829</v>
      </c>
      <c r="G23" s="10">
        <v>-307797</v>
      </c>
      <c r="H23" s="10">
        <f>SUM(B23:G23)</f>
        <v>2167410</v>
      </c>
      <c r="I23" s="10">
        <v>-715655.29</v>
      </c>
      <c r="J23" s="10">
        <v>47897.36149200075</v>
      </c>
    </row>
    <row r="24" ht="20" customHeight="1">
      <c r="A24" t="inlineStr" s="0">
        <is>
          <t>Flujo ya transcurrido de la temporada (histórico, ya en el saldo bancario)</t>
        </is>
      </c>
      <c r="B24" s="10">
        <v>-9850.5</v>
      </c>
      <c r="C24" s="10">
        <v>-153807.5</v>
      </c>
      <c r="D24" s="10">
        <v>-92703</v>
      </c>
      <c r="E24" s="10">
        <v>-37050</v>
      </c>
      <c r="F24" s="10">
        <v>-254920</v>
      </c>
      <c r="G24" s="10">
        <v>-64138</v>
      </c>
      <c r="H24" s="10">
        <f>SUM(B24:G24)</f>
        <v>-612469</v>
      </c>
      <c r="I24" s="10">
        <v>-167127.79000000004</v>
      </c>
      <c r="J24" s="10">
        <v>1353674.6705899998</v>
      </c>
    </row>
    <row r="26">
      <c r="A26" t="inlineStr" s="6">
        <is>
          <t>Total Consolidado = 6 sociedades (Mediterra, Allegria Service, Frisku Foods, Integrity Farms, Osiris, Allegria Foods). Allpa Farms y Allpa Farms Perú: JV por método de participación, se muestran aparte al 100% y NO suman al total.</t>
        </is>
      </c>
    </row>
    <row r="27">
      <c r="A27" t="inlineStr" s="6">
        <is>
          <t>Saldo de caja INCOMPLETO: se excluyen cuentas sin TC guardado de Frisku Foods.</t>
        </is>
      </c>
    </row>
    <row r="28">
      <c r="A28" t="inlineStr" s="6">
        <is>
          <t>El total suma saldos bancarios a 7 fechas distintas (15-09-2026 a 12-10-2026): no es la caja del grupo a una fecha común.</t>
        </is>
      </c>
    </row>
    <row r="29">
      <c r="A29" t="inlineStr" s="6">
        <is>
          <t>Mediterra: sus cuentas tienen fechas distintas (04-10-2026, 10-10-2026); se toma la más reciente como corte y lo ocurrido entre esas fechas puede estar o no en el saldo.</t>
        </is>
      </c>
    </row>
    <row r="30">
      <c r="A30" t="inlineStr" s="6">
        <is>
          <t>PROYECCIÓN PARCIAL, no saldo final definitivo: saldo al corte + flujo de los meses posteriores al mes del corte. El flujo del mes del corte está EXCLUIDO y pendiente de conciliar (ni completo ni cero). La fila de simulación no es el saldo correcto, ni un mínimo, ni un máximo. Los meses anteriores al corte son históricos y no suman.</t>
        </is>
      </c>
    </row>
    <row r="31">
      <c r="A31" t="inlineStr" s="6">
        <is>
          <t>Las subsidiarias van al 100% de su caja; la inclusión proporcional de JV es una vista gerencial, no IAS 28.</t>
        </is>
      </c>
    </row>
  </sheetData>
  <mergeCells count="2">
    <mergeCell ref="A1:J1"/>
    <mergeCell ref="A2:J2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9" customWidth="1"/>
    <col min="3" max="3" width="28" customWidth="1"/>
    <col min="4" max="5" width="18" customWidth="1"/>
    <col min="6" max="7" width="16" customWidth="1"/>
  </cols>
  <sheetData>
    <row r="1">
      <c r="A1" t="inlineStr" s="1">
        <is>
          <t>Sociedad</t>
        </is>
      </c>
      <c r="B1" t="inlineStr" s="1">
        <is>
          <t>Mes</t>
        </is>
      </c>
      <c r="C1" t="inlineStr" s="1">
        <is>
          <t>Clasificación</t>
        </is>
      </c>
      <c r="D1" t="inlineStr" s="1">
        <is>
          <t>Flujo USD</t>
        </is>
      </c>
      <c r="E1" t="inlineStr" s="1">
        <is>
          <t>Saldo proyectado acumulado</t>
        </is>
      </c>
      <c r="F1" t="inlineStr" s="1">
        <is>
          <t>Fecha del saldo de corte</t>
        </is>
      </c>
      <c r="G1" t="inlineStr" s="1">
        <is>
          <t>Saldo al corte</t>
        </is>
      </c>
    </row>
    <row r="2">
      <c r="A2" t="inlineStr">
        <is>
          <t>Mediterra</t>
        </is>
      </c>
      <c r="B2" t="inlineStr">
        <is>
          <t>Jul-26</t>
        </is>
      </c>
      <c r="C2" t="inlineStr">
        <is>
          <t>Histórico (ya en el banco)</t>
        </is>
      </c>
      <c r="D2" s="10">
        <v>-3283.5</v>
      </c>
      <c r="F2" t="inlineStr">
        <is>
          <t>2026-10-10</t>
        </is>
      </c>
      <c r="G2" s="10">
        <v>100000</v>
      </c>
    </row>
    <row r="3">
      <c r="A3" t="inlineStr">
        <is>
          <t>Mediterra</t>
        </is>
      </c>
      <c r="B3" t="inlineStr">
        <is>
          <t>Aug-26</t>
        </is>
      </c>
      <c r="C3" t="inlineStr">
        <is>
          <t>Histórico (ya en el banco)</t>
        </is>
      </c>
      <c r="D3" s="10">
        <v>-3283.5</v>
      </c>
      <c r="F3" t="inlineStr">
        <is>
          <t>2026-10-10</t>
        </is>
      </c>
      <c r="G3" s="10">
        <v>100000</v>
      </c>
    </row>
    <row r="4">
      <c r="A4" t="inlineStr">
        <is>
          <t>Mediterra</t>
        </is>
      </c>
      <c r="B4" t="inlineStr">
        <is>
          <t>Sep-26</t>
        </is>
      </c>
      <c r="C4" t="inlineStr">
        <is>
          <t>Histórico (ya en el banco)</t>
        </is>
      </c>
      <c r="D4" s="10">
        <v>-3283.5</v>
      </c>
      <c r="F4" t="inlineStr">
        <is>
          <t>2026-10-10</t>
        </is>
      </c>
      <c r="G4" s="10">
        <v>100000</v>
      </c>
    </row>
    <row r="5">
      <c r="A5" t="inlineStr">
        <is>
          <t>Mediterra</t>
        </is>
      </c>
      <c r="B5" t="inlineStr">
        <is>
          <t>Oct-26</t>
        </is>
      </c>
      <c r="C5" t="inlineStr">
        <is>
          <t>Mes del corte (excluido, pendiente de conciliar)</t>
        </is>
      </c>
      <c r="D5" s="10">
        <v>-3283.5</v>
      </c>
      <c r="F5" t="inlineStr">
        <is>
          <t>2026-10-10</t>
        </is>
      </c>
      <c r="G5" s="10">
        <v>100000</v>
      </c>
    </row>
    <row r="6">
      <c r="A6" t="inlineStr">
        <is>
          <t>Mediterra</t>
        </is>
      </c>
      <c r="B6" t="inlineStr">
        <is>
          <t>Nov-26</t>
        </is>
      </c>
      <c r="C6" t="inlineStr">
        <is>
          <t>Proyectado</t>
        </is>
      </c>
      <c r="D6" s="10">
        <v>-3283.5</v>
      </c>
      <c r="E6" s="10">
        <v>96716.5</v>
      </c>
      <c r="F6" t="inlineStr">
        <is>
          <t>2026-10-10</t>
        </is>
      </c>
      <c r="G6" s="10">
        <v>100000</v>
      </c>
    </row>
    <row r="7">
      <c r="A7" t="inlineStr">
        <is>
          <t>Mediterra</t>
        </is>
      </c>
      <c r="B7" t="inlineStr">
        <is>
          <t>Dec-26</t>
        </is>
      </c>
      <c r="C7" t="inlineStr">
        <is>
          <t>Proyectado</t>
        </is>
      </c>
      <c r="D7" s="10">
        <v>-3283.5</v>
      </c>
      <c r="E7" s="10">
        <v>93433</v>
      </c>
      <c r="F7" t="inlineStr">
        <is>
          <t>2026-10-10</t>
        </is>
      </c>
      <c r="G7" s="10">
        <v>100000</v>
      </c>
    </row>
    <row r="8">
      <c r="A8" t="inlineStr">
        <is>
          <t>Mediterra</t>
        </is>
      </c>
      <c r="B8" t="inlineStr">
        <is>
          <t>Jan-27</t>
        </is>
      </c>
      <c r="C8" t="inlineStr">
        <is>
          <t>Proyectado</t>
        </is>
      </c>
      <c r="D8" s="10">
        <v>-3283.5</v>
      </c>
      <c r="E8" s="10">
        <v>90149.5</v>
      </c>
      <c r="F8" t="inlineStr">
        <is>
          <t>2026-10-10</t>
        </is>
      </c>
      <c r="G8" s="10">
        <v>100000</v>
      </c>
    </row>
    <row r="9">
      <c r="A9" t="inlineStr">
        <is>
          <t>Mediterra</t>
        </is>
      </c>
      <c r="B9" t="inlineStr">
        <is>
          <t>Feb-27</t>
        </is>
      </c>
      <c r="C9" t="inlineStr">
        <is>
          <t>Proyectado</t>
        </is>
      </c>
      <c r="D9" s="10">
        <v>-3283.5</v>
      </c>
      <c r="E9" s="10">
        <v>86866</v>
      </c>
      <c r="F9" t="inlineStr">
        <is>
          <t>2026-10-10</t>
        </is>
      </c>
      <c r="G9" s="10">
        <v>100000</v>
      </c>
    </row>
    <row r="10">
      <c r="A10" t="inlineStr">
        <is>
          <t>Mediterra</t>
        </is>
      </c>
      <c r="B10" t="inlineStr">
        <is>
          <t>Mar-27</t>
        </is>
      </c>
      <c r="C10" t="inlineStr">
        <is>
          <t>Proyectado</t>
        </is>
      </c>
      <c r="D10" s="10">
        <v>-3283.5</v>
      </c>
      <c r="E10" s="10">
        <v>83582.5</v>
      </c>
      <c r="F10" t="inlineStr">
        <is>
          <t>2026-10-10</t>
        </is>
      </c>
      <c r="G10" s="10">
        <v>100000</v>
      </c>
    </row>
    <row r="11">
      <c r="A11" t="inlineStr">
        <is>
          <t>Mediterra</t>
        </is>
      </c>
      <c r="B11" t="inlineStr">
        <is>
          <t>Apr-27</t>
        </is>
      </c>
      <c r="C11" t="inlineStr">
        <is>
          <t>Proyectado</t>
        </is>
      </c>
      <c r="D11" s="10">
        <v>-1003283.5</v>
      </c>
      <c r="E11" s="10">
        <v>-919701</v>
      </c>
      <c r="F11" t="inlineStr">
        <is>
          <t>2026-10-10</t>
        </is>
      </c>
      <c r="G11" s="10">
        <v>100000</v>
      </c>
    </row>
    <row r="12">
      <c r="A12" t="inlineStr">
        <is>
          <t>Mediterra</t>
        </is>
      </c>
      <c r="B12" t="inlineStr">
        <is>
          <t>May-27</t>
        </is>
      </c>
      <c r="C12" t="inlineStr">
        <is>
          <t>Proyectado</t>
        </is>
      </c>
      <c r="D12" s="10">
        <v>-3283.5</v>
      </c>
      <c r="E12" s="10">
        <v>-922984.5</v>
      </c>
      <c r="F12" t="inlineStr">
        <is>
          <t>2026-10-10</t>
        </is>
      </c>
      <c r="G12" s="10">
        <v>100000</v>
      </c>
    </row>
    <row r="13">
      <c r="A13" t="inlineStr">
        <is>
          <t>Mediterra</t>
        </is>
      </c>
      <c r="B13" t="inlineStr">
        <is>
          <t>Jun-27</t>
        </is>
      </c>
      <c r="C13" t="inlineStr">
        <is>
          <t>Proyectado</t>
        </is>
      </c>
      <c r="D13" s="10">
        <v>-28283.5</v>
      </c>
      <c r="E13" s="10">
        <v>-951268</v>
      </c>
      <c r="F13" t="inlineStr">
        <is>
          <t>2026-10-10</t>
        </is>
      </c>
      <c r="G13" s="10">
        <v>100000</v>
      </c>
    </row>
    <row r="14">
      <c r="A14" t="inlineStr">
        <is>
          <t>Allegria Service</t>
        </is>
      </c>
      <c r="B14" t="inlineStr">
        <is>
          <t>Jul-26</t>
        </is>
      </c>
      <c r="C14" t="inlineStr">
        <is>
          <t>Histórico (ya en el banco)</t>
        </is>
      </c>
      <c r="D14" s="10">
        <v>-74432.5</v>
      </c>
      <c r="F14" t="inlineStr">
        <is>
          <t>2026-10-12</t>
        </is>
      </c>
      <c r="G14" s="10">
        <v>31000</v>
      </c>
    </row>
    <row r="15">
      <c r="A15" t="inlineStr">
        <is>
          <t>Allegria Service</t>
        </is>
      </c>
      <c r="B15" t="inlineStr">
        <is>
          <t>Aug-26</t>
        </is>
      </c>
      <c r="C15" t="inlineStr">
        <is>
          <t>Histórico (ya en el banco)</t>
        </is>
      </c>
      <c r="D15" s="10">
        <v>-38576.5</v>
      </c>
      <c r="F15" t="inlineStr">
        <is>
          <t>2026-10-12</t>
        </is>
      </c>
      <c r="G15" s="10">
        <v>31000</v>
      </c>
    </row>
    <row r="16">
      <c r="A16" t="inlineStr">
        <is>
          <t>Allegria Service</t>
        </is>
      </c>
      <c r="B16" t="inlineStr">
        <is>
          <t>Sep-26</t>
        </is>
      </c>
      <c r="C16" t="inlineStr">
        <is>
          <t>Histórico (ya en el banco)</t>
        </is>
      </c>
      <c r="D16" s="10">
        <v>-40798.5</v>
      </c>
      <c r="F16" t="inlineStr">
        <is>
          <t>2026-10-12</t>
        </is>
      </c>
      <c r="G16" s="10">
        <v>31000</v>
      </c>
    </row>
    <row r="17">
      <c r="A17" t="inlineStr">
        <is>
          <t>Allegria Service</t>
        </is>
      </c>
      <c r="B17" t="inlineStr">
        <is>
          <t>Oct-26</t>
        </is>
      </c>
      <c r="C17" t="inlineStr">
        <is>
          <t>Mes del corte (excluido, pendiente de conciliar)</t>
        </is>
      </c>
      <c r="D17" s="10">
        <v>-48399.5</v>
      </c>
      <c r="F17" t="inlineStr">
        <is>
          <t>2026-10-12</t>
        </is>
      </c>
      <c r="G17" s="10">
        <v>31000</v>
      </c>
    </row>
    <row r="18">
      <c r="A18" t="inlineStr">
        <is>
          <t>Allegria Service</t>
        </is>
      </c>
      <c r="B18" t="inlineStr">
        <is>
          <t>Nov-26</t>
        </is>
      </c>
      <c r="C18" t="inlineStr">
        <is>
          <t>Proyectado</t>
        </is>
      </c>
      <c r="D18" s="10">
        <v>-44120.5</v>
      </c>
      <c r="E18" s="10">
        <v>-13120.5</v>
      </c>
      <c r="F18" t="inlineStr">
        <is>
          <t>2026-10-12</t>
        </is>
      </c>
      <c r="G18" s="10">
        <v>31000</v>
      </c>
    </row>
    <row r="19">
      <c r="A19" t="inlineStr">
        <is>
          <t>Allegria Service</t>
        </is>
      </c>
      <c r="B19" t="inlineStr">
        <is>
          <t>Dec-26</t>
        </is>
      </c>
      <c r="C19" t="inlineStr">
        <is>
          <t>Proyectado</t>
        </is>
      </c>
      <c r="D19" s="10">
        <v>-52745.5</v>
      </c>
      <c r="E19" s="10">
        <v>-65866</v>
      </c>
      <c r="F19" t="inlineStr">
        <is>
          <t>2026-10-12</t>
        </is>
      </c>
      <c r="G19" s="10">
        <v>31000</v>
      </c>
    </row>
    <row r="20">
      <c r="A20" t="inlineStr">
        <is>
          <t>Allegria Service</t>
        </is>
      </c>
      <c r="B20" t="inlineStr">
        <is>
          <t>Jan-27</t>
        </is>
      </c>
      <c r="C20" t="inlineStr">
        <is>
          <t>Proyectado</t>
        </is>
      </c>
      <c r="D20" s="10">
        <v>-76392.5</v>
      </c>
      <c r="E20" s="10">
        <v>-142258.5</v>
      </c>
      <c r="F20" t="inlineStr">
        <is>
          <t>2026-10-12</t>
        </is>
      </c>
      <c r="G20" s="10">
        <v>31000</v>
      </c>
    </row>
    <row r="21">
      <c r="A21" t="inlineStr">
        <is>
          <t>Allegria Service</t>
        </is>
      </c>
      <c r="B21" t="inlineStr">
        <is>
          <t>Feb-27</t>
        </is>
      </c>
      <c r="C21" t="inlineStr">
        <is>
          <t>Proyectado</t>
        </is>
      </c>
      <c r="D21" s="10">
        <v>-50111.5</v>
      </c>
      <c r="E21" s="10">
        <v>-192370</v>
      </c>
      <c r="F21" t="inlineStr">
        <is>
          <t>2026-10-12</t>
        </is>
      </c>
      <c r="G21" s="10">
        <v>31000</v>
      </c>
    </row>
    <row r="22">
      <c r="A22" t="inlineStr">
        <is>
          <t>Allegria Service</t>
        </is>
      </c>
      <c r="B22" t="inlineStr">
        <is>
          <t>Mar-27</t>
        </is>
      </c>
      <c r="C22" t="inlineStr">
        <is>
          <t>Proyectado</t>
        </is>
      </c>
      <c r="D22" s="10">
        <v>-42034.5</v>
      </c>
      <c r="E22" s="10">
        <v>-234404.5</v>
      </c>
      <c r="F22" t="inlineStr">
        <is>
          <t>2026-10-12</t>
        </is>
      </c>
      <c r="G22" s="10">
        <v>31000</v>
      </c>
    </row>
    <row r="23">
      <c r="A23" t="inlineStr">
        <is>
          <t>Allegria Service</t>
        </is>
      </c>
      <c r="B23" t="inlineStr">
        <is>
          <t>Apr-27</t>
        </is>
      </c>
      <c r="C23" t="inlineStr">
        <is>
          <t>Proyectado</t>
        </is>
      </c>
      <c r="D23" s="10">
        <v>-203648.5</v>
      </c>
      <c r="E23" s="10">
        <v>-438053</v>
      </c>
      <c r="F23" t="inlineStr">
        <is>
          <t>2026-10-12</t>
        </is>
      </c>
      <c r="G23" s="10">
        <v>31000</v>
      </c>
    </row>
    <row r="24">
      <c r="A24" t="inlineStr">
        <is>
          <t>Allegria Service</t>
        </is>
      </c>
      <c r="B24" t="inlineStr">
        <is>
          <t>May-27</t>
        </is>
      </c>
      <c r="C24" t="inlineStr">
        <is>
          <t>Proyectado</t>
        </is>
      </c>
      <c r="D24" s="10">
        <v>-25814.5</v>
      </c>
      <c r="E24" s="10">
        <v>-463867.5</v>
      </c>
      <c r="F24" t="inlineStr">
        <is>
          <t>2026-10-12</t>
        </is>
      </c>
      <c r="G24" s="10">
        <v>31000</v>
      </c>
    </row>
    <row r="25">
      <c r="A25" t="inlineStr">
        <is>
          <t>Allegria Service</t>
        </is>
      </c>
      <c r="B25" t="inlineStr">
        <is>
          <t>Jun-27</t>
        </is>
      </c>
      <c r="C25" t="inlineStr">
        <is>
          <t>Proyectado</t>
        </is>
      </c>
      <c r="D25" s="10">
        <v>-45135.5</v>
      </c>
      <c r="E25" s="10">
        <v>-509003</v>
      </c>
      <c r="F25" t="inlineStr">
        <is>
          <t>2026-10-12</t>
        </is>
      </c>
      <c r="G25" s="10">
        <v>31000</v>
      </c>
    </row>
    <row r="26">
      <c r="A26" t="inlineStr">
        <is>
          <t>Frisku Foods</t>
        </is>
      </c>
      <c r="B26" t="inlineStr">
        <is>
          <t>Jul-26</t>
        </is>
      </c>
      <c r="C26" t="inlineStr">
        <is>
          <t>Histórico (ya en el banco)</t>
        </is>
      </c>
      <c r="D26" s="10">
        <v>-59073</v>
      </c>
      <c r="F26" t="inlineStr">
        <is>
          <t>2026-10-09</t>
        </is>
      </c>
      <c r="G26" s="10">
        <v>0</v>
      </c>
    </row>
    <row r="27">
      <c r="A27" t="inlineStr">
        <is>
          <t>Frisku Foods</t>
        </is>
      </c>
      <c r="B27" t="inlineStr">
        <is>
          <t>Aug-26</t>
        </is>
      </c>
      <c r="C27" t="inlineStr">
        <is>
          <t>Histórico (ya en el banco)</t>
        </is>
      </c>
      <c r="D27" s="10">
        <v>-11169</v>
      </c>
      <c r="F27" t="inlineStr">
        <is>
          <t>2026-10-09</t>
        </is>
      </c>
      <c r="G27" s="10">
        <v>0</v>
      </c>
    </row>
    <row r="28">
      <c r="A28" t="inlineStr">
        <is>
          <t>Frisku Foods</t>
        </is>
      </c>
      <c r="B28" t="inlineStr">
        <is>
          <t>Sep-26</t>
        </is>
      </c>
      <c r="C28" t="inlineStr">
        <is>
          <t>Histórico (ya en el banco)</t>
        </is>
      </c>
      <c r="D28" s="10">
        <v>-22461</v>
      </c>
      <c r="F28" t="inlineStr">
        <is>
          <t>2026-10-09</t>
        </is>
      </c>
      <c r="G28" s="10">
        <v>0</v>
      </c>
    </row>
    <row r="29">
      <c r="A29" t="inlineStr">
        <is>
          <t>Frisku Foods</t>
        </is>
      </c>
      <c r="B29" t="inlineStr">
        <is>
          <t>Oct-26</t>
        </is>
      </c>
      <c r="C29" t="inlineStr">
        <is>
          <t>Mes del corte (excluido, pendiente de conciliar)</t>
        </is>
      </c>
      <c r="D29" s="10">
        <v>-22697</v>
      </c>
      <c r="F29" t="inlineStr">
        <is>
          <t>2026-10-09</t>
        </is>
      </c>
      <c r="G29" s="10">
        <v>0</v>
      </c>
    </row>
    <row r="30">
      <c r="A30" t="inlineStr">
        <is>
          <t>Frisku Foods</t>
        </is>
      </c>
      <c r="B30" t="inlineStr">
        <is>
          <t>Nov-26</t>
        </is>
      </c>
      <c r="C30" t="inlineStr">
        <is>
          <t>Proyectado</t>
        </is>
      </c>
      <c r="D30" s="10">
        <v>69743</v>
      </c>
      <c r="E30" s="10">
        <v>69743</v>
      </c>
      <c r="F30" t="inlineStr">
        <is>
          <t>2026-10-09</t>
        </is>
      </c>
      <c r="G30" s="10">
        <v>0</v>
      </c>
    </row>
    <row r="31">
      <c r="A31" t="inlineStr">
        <is>
          <t>Frisku Foods</t>
        </is>
      </c>
      <c r="B31" t="inlineStr">
        <is>
          <t>Dec-26</t>
        </is>
      </c>
      <c r="C31" t="inlineStr">
        <is>
          <t>Proyectado</t>
        </is>
      </c>
      <c r="D31" s="10">
        <v>-156588</v>
      </c>
      <c r="E31" s="10">
        <v>-86845</v>
      </c>
      <c r="F31" t="inlineStr">
        <is>
          <t>2026-10-09</t>
        </is>
      </c>
      <c r="G31" s="10">
        <v>0</v>
      </c>
    </row>
    <row r="32">
      <c r="A32" t="inlineStr">
        <is>
          <t>Frisku Foods</t>
        </is>
      </c>
      <c r="B32" t="inlineStr">
        <is>
          <t>Jan-27</t>
        </is>
      </c>
      <c r="C32" t="inlineStr">
        <is>
          <t>Proyectado</t>
        </is>
      </c>
      <c r="D32" s="10">
        <v>345654</v>
      </c>
      <c r="E32" s="10">
        <v>258809</v>
      </c>
      <c r="F32" t="inlineStr">
        <is>
          <t>2026-10-09</t>
        </is>
      </c>
      <c r="G32" s="10">
        <v>0</v>
      </c>
    </row>
    <row r="33">
      <c r="A33" t="inlineStr">
        <is>
          <t>Frisku Foods</t>
        </is>
      </c>
      <c r="B33" t="inlineStr">
        <is>
          <t>Feb-27</t>
        </is>
      </c>
      <c r="C33" t="inlineStr">
        <is>
          <t>Proyectado</t>
        </is>
      </c>
      <c r="D33" s="10">
        <v>161798</v>
      </c>
      <c r="E33" s="10">
        <v>420607</v>
      </c>
      <c r="F33" t="inlineStr">
        <is>
          <t>2026-10-09</t>
        </is>
      </c>
      <c r="G33" s="10">
        <v>0</v>
      </c>
    </row>
    <row r="34">
      <c r="A34" t="inlineStr">
        <is>
          <t>Frisku Foods</t>
        </is>
      </c>
      <c r="B34" t="inlineStr">
        <is>
          <t>Mar-27</t>
        </is>
      </c>
      <c r="C34" t="inlineStr">
        <is>
          <t>Proyectado</t>
        </is>
      </c>
      <c r="D34" s="10">
        <v>276971</v>
      </c>
      <c r="E34" s="10">
        <v>697578</v>
      </c>
      <c r="F34" t="inlineStr">
        <is>
          <t>2026-10-09</t>
        </is>
      </c>
      <c r="G34" s="10">
        <v>0</v>
      </c>
    </row>
    <row r="35">
      <c r="A35" t="inlineStr">
        <is>
          <t>Frisku Foods</t>
        </is>
      </c>
      <c r="B35" t="inlineStr">
        <is>
          <t>Apr-27</t>
        </is>
      </c>
      <c r="C35" t="inlineStr">
        <is>
          <t>Proyectado</t>
        </is>
      </c>
      <c r="D35" s="10">
        <v>56133</v>
      </c>
      <c r="E35" s="10">
        <v>753711</v>
      </c>
      <c r="F35" t="inlineStr">
        <is>
          <t>2026-10-09</t>
        </is>
      </c>
      <c r="G35" s="10">
        <v>0</v>
      </c>
    </row>
    <row r="36">
      <c r="A36" t="inlineStr">
        <is>
          <t>Frisku Foods</t>
        </is>
      </c>
      <c r="B36" t="inlineStr">
        <is>
          <t>May-27</t>
        </is>
      </c>
      <c r="C36" t="inlineStr">
        <is>
          <t>Proyectado</t>
        </is>
      </c>
      <c r="D36" s="10">
        <v>-38470</v>
      </c>
      <c r="E36" s="10">
        <v>715241</v>
      </c>
      <c r="F36" t="inlineStr">
        <is>
          <t>2026-10-09</t>
        </is>
      </c>
      <c r="G36" s="10">
        <v>0</v>
      </c>
    </row>
    <row r="37">
      <c r="A37" t="inlineStr">
        <is>
          <t>Frisku Foods</t>
        </is>
      </c>
      <c r="B37" t="inlineStr">
        <is>
          <t>Jun-27</t>
        </is>
      </c>
      <c r="C37" t="inlineStr">
        <is>
          <t>Proyectado</t>
        </is>
      </c>
      <c r="D37" s="10">
        <v>-85962</v>
      </c>
      <c r="E37" s="10">
        <v>629279</v>
      </c>
      <c r="F37" t="inlineStr">
        <is>
          <t>2026-10-09</t>
        </is>
      </c>
      <c r="G37" s="10">
        <v>0</v>
      </c>
    </row>
    <row r="38">
      <c r="A38" t="inlineStr">
        <is>
          <t>Integrity Farms</t>
        </is>
      </c>
      <c r="B38" t="inlineStr">
        <is>
          <t>Jul-26</t>
        </is>
      </c>
      <c r="C38" t="inlineStr">
        <is>
          <t>Histórico (ya en el banco)</t>
        </is>
      </c>
      <c r="D38" s="10">
        <v>-12350</v>
      </c>
      <c r="F38" t="inlineStr">
        <is>
          <t>2026-10-08</t>
        </is>
      </c>
      <c r="G38" s="10">
        <v>22000</v>
      </c>
    </row>
    <row r="39">
      <c r="A39" t="inlineStr">
        <is>
          <t>Integrity Farms</t>
        </is>
      </c>
      <c r="B39" t="inlineStr">
        <is>
          <t>Aug-26</t>
        </is>
      </c>
      <c r="C39" t="inlineStr">
        <is>
          <t>Histórico (ya en el banco)</t>
        </is>
      </c>
      <c r="D39" s="10">
        <v>-12400</v>
      </c>
      <c r="F39" t="inlineStr">
        <is>
          <t>2026-10-08</t>
        </is>
      </c>
      <c r="G39" s="10">
        <v>22000</v>
      </c>
    </row>
    <row r="40">
      <c r="A40" t="inlineStr">
        <is>
          <t>Integrity Farms</t>
        </is>
      </c>
      <c r="B40" t="inlineStr">
        <is>
          <t>Sep-26</t>
        </is>
      </c>
      <c r="C40" t="inlineStr">
        <is>
          <t>Histórico (ya en el banco)</t>
        </is>
      </c>
      <c r="D40" s="10">
        <v>-12300</v>
      </c>
      <c r="F40" t="inlineStr">
        <is>
          <t>2026-10-08</t>
        </is>
      </c>
      <c r="G40" s="10">
        <v>22000</v>
      </c>
    </row>
    <row r="41">
      <c r="A41" t="inlineStr">
        <is>
          <t>Integrity Farms</t>
        </is>
      </c>
      <c r="B41" t="inlineStr">
        <is>
          <t>Oct-26</t>
        </is>
      </c>
      <c r="C41" t="inlineStr">
        <is>
          <t>Mes del corte (excluido, pendiente de conciliar)</t>
        </is>
      </c>
      <c r="D41" s="10">
        <v>-12400</v>
      </c>
      <c r="F41" t="inlineStr">
        <is>
          <t>2026-10-08</t>
        </is>
      </c>
      <c r="G41" s="10">
        <v>22000</v>
      </c>
    </row>
    <row r="42">
      <c r="A42" t="inlineStr">
        <is>
          <t>Integrity Farms</t>
        </is>
      </c>
      <c r="B42" t="inlineStr">
        <is>
          <t>Nov-26</t>
        </is>
      </c>
      <c r="C42" t="inlineStr">
        <is>
          <t>Proyectado</t>
        </is>
      </c>
      <c r="D42" s="10">
        <v>-12300</v>
      </c>
      <c r="E42" s="10">
        <v>9700</v>
      </c>
      <c r="F42" t="inlineStr">
        <is>
          <t>2026-10-08</t>
        </is>
      </c>
      <c r="G42" s="10">
        <v>22000</v>
      </c>
    </row>
    <row r="43">
      <c r="A43" t="inlineStr">
        <is>
          <t>Integrity Farms</t>
        </is>
      </c>
      <c r="B43" t="inlineStr">
        <is>
          <t>Dec-26</t>
        </is>
      </c>
      <c r="C43" t="inlineStr">
        <is>
          <t>Proyectado</t>
        </is>
      </c>
      <c r="D43" s="10">
        <v>-12400</v>
      </c>
      <c r="E43" s="10">
        <v>-2700</v>
      </c>
      <c r="F43" t="inlineStr">
        <is>
          <t>2026-10-08</t>
        </is>
      </c>
      <c r="G43" s="10">
        <v>22000</v>
      </c>
    </row>
    <row r="44">
      <c r="A44" t="inlineStr">
        <is>
          <t>Integrity Farms</t>
        </is>
      </c>
      <c r="B44" t="inlineStr">
        <is>
          <t>Jan-27</t>
        </is>
      </c>
      <c r="C44" t="inlineStr">
        <is>
          <t>Proyectado</t>
        </is>
      </c>
      <c r="D44" s="10">
        <v>-12350</v>
      </c>
      <c r="E44" s="10">
        <v>-15050</v>
      </c>
      <c r="F44" t="inlineStr">
        <is>
          <t>2026-10-08</t>
        </is>
      </c>
      <c r="G44" s="10">
        <v>22000</v>
      </c>
    </row>
    <row r="45">
      <c r="A45" t="inlineStr">
        <is>
          <t>Integrity Farms</t>
        </is>
      </c>
      <c r="B45" t="inlineStr">
        <is>
          <t>Feb-27</t>
        </is>
      </c>
      <c r="C45" t="inlineStr">
        <is>
          <t>Proyectado</t>
        </is>
      </c>
      <c r="D45" s="10">
        <v>-12400</v>
      </c>
      <c r="E45" s="10">
        <v>-27450</v>
      </c>
      <c r="F45" t="inlineStr">
        <is>
          <t>2026-10-08</t>
        </is>
      </c>
      <c r="G45" s="10">
        <v>22000</v>
      </c>
    </row>
    <row r="46">
      <c r="A46" t="inlineStr">
        <is>
          <t>Integrity Farms</t>
        </is>
      </c>
      <c r="B46" t="inlineStr">
        <is>
          <t>Mar-27</t>
        </is>
      </c>
      <c r="C46" t="inlineStr">
        <is>
          <t>Proyectado</t>
        </is>
      </c>
      <c r="D46" s="10">
        <v>-12300</v>
      </c>
      <c r="E46" s="10">
        <v>-39750</v>
      </c>
      <c r="F46" t="inlineStr">
        <is>
          <t>2026-10-08</t>
        </is>
      </c>
      <c r="G46" s="10">
        <v>22000</v>
      </c>
    </row>
    <row r="47">
      <c r="A47" t="inlineStr">
        <is>
          <t>Integrity Farms</t>
        </is>
      </c>
      <c r="B47" t="inlineStr">
        <is>
          <t>Apr-27</t>
        </is>
      </c>
      <c r="C47" t="inlineStr">
        <is>
          <t>Proyectado</t>
        </is>
      </c>
      <c r="D47" s="10">
        <v>-12400</v>
      </c>
      <c r="E47" s="10">
        <v>-52150</v>
      </c>
      <c r="F47" t="inlineStr">
        <is>
          <t>2026-10-08</t>
        </is>
      </c>
      <c r="G47" s="10">
        <v>22000</v>
      </c>
    </row>
    <row r="48">
      <c r="A48" t="inlineStr">
        <is>
          <t>Integrity Farms</t>
        </is>
      </c>
      <c r="B48" t="inlineStr">
        <is>
          <t>May-27</t>
        </is>
      </c>
      <c r="C48" t="inlineStr">
        <is>
          <t>Proyectado</t>
        </is>
      </c>
      <c r="D48" s="10">
        <v>-12300</v>
      </c>
      <c r="E48" s="10">
        <v>-64450</v>
      </c>
      <c r="F48" t="inlineStr">
        <is>
          <t>2026-10-08</t>
        </is>
      </c>
      <c r="G48" s="10">
        <v>22000</v>
      </c>
    </row>
    <row r="49">
      <c r="A49" t="inlineStr">
        <is>
          <t>Integrity Farms</t>
        </is>
      </c>
      <c r="B49" t="inlineStr">
        <is>
          <t>Jun-27</t>
        </is>
      </c>
      <c r="C49" t="inlineStr">
        <is>
          <t>Proyectado</t>
        </is>
      </c>
      <c r="D49" s="10">
        <v>-12400</v>
      </c>
      <c r="E49" s="10">
        <v>-76850</v>
      </c>
      <c r="F49" t="inlineStr">
        <is>
          <t>2026-10-08</t>
        </is>
      </c>
      <c r="G49" s="10">
        <v>22000</v>
      </c>
    </row>
    <row r="50">
      <c r="A50" t="inlineStr">
        <is>
          <t>Osiris</t>
        </is>
      </c>
      <c r="B50" t="inlineStr">
        <is>
          <t>Jul-26</t>
        </is>
      </c>
      <c r="C50" t="inlineStr">
        <is>
          <t>Histórico (ya en el banco)</t>
        </is>
      </c>
      <c r="D50" s="10">
        <v>-92591</v>
      </c>
      <c r="F50" t="inlineStr">
        <is>
          <t>2026-10-11</t>
        </is>
      </c>
      <c r="G50" s="10">
        <v>50000</v>
      </c>
    </row>
    <row r="51">
      <c r="A51" t="inlineStr">
        <is>
          <t>Osiris</t>
        </is>
      </c>
      <c r="B51" t="inlineStr">
        <is>
          <t>Aug-26</t>
        </is>
      </c>
      <c r="C51" t="inlineStr">
        <is>
          <t>Histórico (ya en el banco)</t>
        </is>
      </c>
      <c r="D51" s="10">
        <v>-79318</v>
      </c>
      <c r="F51" t="inlineStr">
        <is>
          <t>2026-10-11</t>
        </is>
      </c>
      <c r="G51" s="10">
        <v>50000</v>
      </c>
    </row>
    <row r="52">
      <c r="A52" t="inlineStr">
        <is>
          <t>Osiris</t>
        </is>
      </c>
      <c r="B52" t="inlineStr">
        <is>
          <t>Sep-26</t>
        </is>
      </c>
      <c r="C52" t="inlineStr">
        <is>
          <t>Histórico (ya en el banco)</t>
        </is>
      </c>
      <c r="D52" s="10">
        <v>-83011</v>
      </c>
      <c r="F52" t="inlineStr">
        <is>
          <t>2026-10-11</t>
        </is>
      </c>
      <c r="G52" s="10">
        <v>50000</v>
      </c>
    </row>
    <row r="53">
      <c r="A53" t="inlineStr">
        <is>
          <t>Osiris</t>
        </is>
      </c>
      <c r="B53" t="inlineStr">
        <is>
          <t>Oct-26</t>
        </is>
      </c>
      <c r="C53" t="inlineStr">
        <is>
          <t>Mes del corte (excluido, pendiente de conciliar)</t>
        </is>
      </c>
      <c r="D53" s="10">
        <v>-87622</v>
      </c>
      <c r="F53" t="inlineStr">
        <is>
          <t>2026-10-11</t>
        </is>
      </c>
      <c r="G53" s="10">
        <v>50000</v>
      </c>
    </row>
    <row r="54">
      <c r="A54" t="inlineStr">
        <is>
          <t>Osiris</t>
        </is>
      </c>
      <c r="B54" t="inlineStr">
        <is>
          <t>Nov-26</t>
        </is>
      </c>
      <c r="C54" t="inlineStr">
        <is>
          <t>Proyectado</t>
        </is>
      </c>
      <c r="D54" s="10">
        <v>1017922</v>
      </c>
      <c r="E54" s="10">
        <v>1067922</v>
      </c>
      <c r="F54" t="inlineStr">
        <is>
          <t>2026-10-11</t>
        </is>
      </c>
      <c r="G54" s="10">
        <v>50000</v>
      </c>
    </row>
    <row r="55">
      <c r="A55" t="inlineStr">
        <is>
          <t>Osiris</t>
        </is>
      </c>
      <c r="B55" t="inlineStr">
        <is>
          <t>Dec-26</t>
        </is>
      </c>
      <c r="C55" t="inlineStr">
        <is>
          <t>Proyectado</t>
        </is>
      </c>
      <c r="D55" s="10">
        <v>-89799</v>
      </c>
      <c r="E55" s="10">
        <v>978123</v>
      </c>
      <c r="F55" t="inlineStr">
        <is>
          <t>2026-10-11</t>
        </is>
      </c>
      <c r="G55" s="10">
        <v>50000</v>
      </c>
    </row>
    <row r="56">
      <c r="A56" t="inlineStr">
        <is>
          <t>Osiris</t>
        </is>
      </c>
      <c r="B56" t="inlineStr">
        <is>
          <t>Jan-27</t>
        </is>
      </c>
      <c r="C56" t="inlineStr">
        <is>
          <t>Proyectado</t>
        </is>
      </c>
      <c r="D56" s="10">
        <v>-78866</v>
      </c>
      <c r="E56" s="10">
        <v>899257</v>
      </c>
      <c r="F56" t="inlineStr">
        <is>
          <t>2026-10-11</t>
        </is>
      </c>
      <c r="G56" s="10">
        <v>50000</v>
      </c>
    </row>
    <row r="57">
      <c r="A57" t="inlineStr">
        <is>
          <t>Osiris</t>
        </is>
      </c>
      <c r="B57" t="inlineStr">
        <is>
          <t>Feb-27</t>
        </is>
      </c>
      <c r="C57" t="inlineStr">
        <is>
          <t>Proyectado</t>
        </is>
      </c>
      <c r="D57" s="10">
        <v>-84372</v>
      </c>
      <c r="E57" s="10">
        <v>814885</v>
      </c>
      <c r="F57" t="inlineStr">
        <is>
          <t>2026-10-11</t>
        </is>
      </c>
      <c r="G57" s="10">
        <v>50000</v>
      </c>
    </row>
    <row r="58">
      <c r="A58" t="inlineStr">
        <is>
          <t>Osiris</t>
        </is>
      </c>
      <c r="B58" t="inlineStr">
        <is>
          <t>Mar-27</t>
        </is>
      </c>
      <c r="C58" t="inlineStr">
        <is>
          <t>Proyectado</t>
        </is>
      </c>
      <c r="D58" s="10">
        <v>2111277</v>
      </c>
      <c r="E58" s="10">
        <v>2926162</v>
      </c>
      <c r="F58" t="inlineStr">
        <is>
          <t>2026-10-11</t>
        </is>
      </c>
      <c r="G58" s="10">
        <v>50000</v>
      </c>
    </row>
    <row r="59">
      <c r="A59" t="inlineStr">
        <is>
          <t>Osiris</t>
        </is>
      </c>
      <c r="B59" t="inlineStr">
        <is>
          <t>Apr-27</t>
        </is>
      </c>
      <c r="C59" t="inlineStr">
        <is>
          <t>Proyectado</t>
        </is>
      </c>
      <c r="D59" s="10">
        <v>-81513</v>
      </c>
      <c r="E59" s="10">
        <v>2844649</v>
      </c>
      <c r="F59" t="inlineStr">
        <is>
          <t>2026-10-11</t>
        </is>
      </c>
      <c r="G59" s="10">
        <v>50000</v>
      </c>
    </row>
    <row r="60">
      <c r="A60" t="inlineStr">
        <is>
          <t>Osiris</t>
        </is>
      </c>
      <c r="B60" t="inlineStr">
        <is>
          <t>May-27</t>
        </is>
      </c>
      <c r="C60" t="inlineStr">
        <is>
          <t>Proyectado</t>
        </is>
      </c>
      <c r="D60" s="10">
        <v>-79321</v>
      </c>
      <c r="E60" s="10">
        <v>2765328</v>
      </c>
      <c r="F60" t="inlineStr">
        <is>
          <t>2026-10-11</t>
        </is>
      </c>
      <c r="G60" s="10">
        <v>50000</v>
      </c>
    </row>
    <row r="61">
      <c r="A61" t="inlineStr">
        <is>
          <t>Osiris</t>
        </is>
      </c>
      <c r="B61" t="inlineStr">
        <is>
          <t>Jun-27</t>
        </is>
      </c>
      <c r="C61" t="inlineStr">
        <is>
          <t>Proyectado</t>
        </is>
      </c>
      <c r="D61" s="10">
        <v>792123</v>
      </c>
      <c r="E61" s="10">
        <v>3557451</v>
      </c>
      <c r="F61" t="inlineStr">
        <is>
          <t>2026-10-11</t>
        </is>
      </c>
      <c r="G61" s="10">
        <v>50000</v>
      </c>
    </row>
    <row r="62">
      <c r="A62" t="inlineStr">
        <is>
          <t>Allegria Foods</t>
        </is>
      </c>
      <c r="B62" t="inlineStr">
        <is>
          <t>Jul-26</t>
        </is>
      </c>
      <c r="C62" t="inlineStr">
        <is>
          <t>Histórico (ya en el banco)</t>
        </is>
      </c>
      <c r="D62" s="10">
        <v>-34586</v>
      </c>
      <c r="F62" t="inlineStr">
        <is>
          <t>2026-09-15</t>
        </is>
      </c>
      <c r="G62" s="10">
        <v>17433</v>
      </c>
    </row>
    <row r="63">
      <c r="A63" t="inlineStr">
        <is>
          <t>Allegria Foods</t>
        </is>
      </c>
      <c r="B63" t="inlineStr">
        <is>
          <t>Aug-26</t>
        </is>
      </c>
      <c r="C63" t="inlineStr">
        <is>
          <t>Histórico (ya en el banco)</t>
        </is>
      </c>
      <c r="D63" s="10">
        <v>-29552</v>
      </c>
      <c r="F63" t="inlineStr">
        <is>
          <t>2026-09-15</t>
        </is>
      </c>
      <c r="G63" s="10">
        <v>17433</v>
      </c>
    </row>
    <row r="64">
      <c r="A64" t="inlineStr">
        <is>
          <t>Allegria Foods</t>
        </is>
      </c>
      <c r="B64" t="inlineStr">
        <is>
          <t>Sep-26</t>
        </is>
      </c>
      <c r="C64" t="inlineStr">
        <is>
          <t>Mes del corte (excluido, pendiente de conciliar)</t>
        </is>
      </c>
      <c r="D64" s="10">
        <v>-29252</v>
      </c>
      <c r="F64" t="inlineStr">
        <is>
          <t>2026-09-15</t>
        </is>
      </c>
      <c r="G64" s="10">
        <v>17433</v>
      </c>
    </row>
    <row r="65">
      <c r="A65" t="inlineStr">
        <is>
          <t>Allegria Foods</t>
        </is>
      </c>
      <c r="B65" t="inlineStr">
        <is>
          <t>Oct-26</t>
        </is>
      </c>
      <c r="C65" t="inlineStr">
        <is>
          <t>Proyectado</t>
        </is>
      </c>
      <c r="D65" s="10">
        <v>-31568</v>
      </c>
      <c r="E65" s="10">
        <v>-14135</v>
      </c>
      <c r="F65" t="inlineStr">
        <is>
          <t>2026-09-15</t>
        </is>
      </c>
      <c r="G65" s="10">
        <v>17433</v>
      </c>
    </row>
    <row r="66">
      <c r="A66" t="inlineStr">
        <is>
          <t>Allegria Foods</t>
        </is>
      </c>
      <c r="B66" t="inlineStr">
        <is>
          <t>Nov-26</t>
        </is>
      </c>
      <c r="C66" t="inlineStr">
        <is>
          <t>Proyectado</t>
        </is>
      </c>
      <c r="D66" s="10">
        <v>-31430</v>
      </c>
      <c r="E66" s="10">
        <v>-45565</v>
      </c>
      <c r="F66" t="inlineStr">
        <is>
          <t>2026-09-15</t>
        </is>
      </c>
      <c r="G66" s="10">
        <v>17433</v>
      </c>
    </row>
    <row r="67">
      <c r="A67" t="inlineStr">
        <is>
          <t>Allegria Foods</t>
        </is>
      </c>
      <c r="B67" t="inlineStr">
        <is>
          <t>Dec-26</t>
        </is>
      </c>
      <c r="C67" t="inlineStr">
        <is>
          <t>Proyectado</t>
        </is>
      </c>
      <c r="D67" s="10">
        <v>-41130</v>
      </c>
      <c r="E67" s="10">
        <v>-86695</v>
      </c>
      <c r="F67" t="inlineStr">
        <is>
          <t>2026-09-15</t>
        </is>
      </c>
      <c r="G67" s="10">
        <v>17433</v>
      </c>
    </row>
    <row r="68">
      <c r="A68" t="inlineStr">
        <is>
          <t>Allegria Foods</t>
        </is>
      </c>
      <c r="B68" t="inlineStr">
        <is>
          <t>Jan-27</t>
        </is>
      </c>
      <c r="C68" t="inlineStr">
        <is>
          <t>Proyectado</t>
        </is>
      </c>
      <c r="D68" s="10">
        <v>-30889</v>
      </c>
      <c r="E68" s="10">
        <v>-117584</v>
      </c>
      <c r="F68" t="inlineStr">
        <is>
          <t>2026-09-15</t>
        </is>
      </c>
      <c r="G68" s="10">
        <v>17433</v>
      </c>
    </row>
    <row r="69">
      <c r="A69" t="inlineStr">
        <is>
          <t>Allegria Foods</t>
        </is>
      </c>
      <c r="B69" t="inlineStr">
        <is>
          <t>Feb-27</t>
        </is>
      </c>
      <c r="C69" t="inlineStr">
        <is>
          <t>Proyectado</t>
        </is>
      </c>
      <c r="D69" s="10">
        <v>-28964</v>
      </c>
      <c r="E69" s="10">
        <v>-146548</v>
      </c>
      <c r="F69" t="inlineStr">
        <is>
          <t>2026-09-15</t>
        </is>
      </c>
      <c r="G69" s="10">
        <v>17433</v>
      </c>
    </row>
    <row r="70">
      <c r="A70" t="inlineStr">
        <is>
          <t>Allegria Foods</t>
        </is>
      </c>
      <c r="B70" t="inlineStr">
        <is>
          <t>Mar-27</t>
        </is>
      </c>
      <c r="C70" t="inlineStr">
        <is>
          <t>Proyectado</t>
        </is>
      </c>
      <c r="D70" s="10">
        <v>-27086</v>
      </c>
      <c r="E70" s="10">
        <v>-173634</v>
      </c>
      <c r="F70" t="inlineStr">
        <is>
          <t>2026-09-15</t>
        </is>
      </c>
      <c r="G70" s="10">
        <v>17433</v>
      </c>
    </row>
    <row r="71">
      <c r="A71" t="inlineStr">
        <is>
          <t>Allegria Foods</t>
        </is>
      </c>
      <c r="B71" t="inlineStr">
        <is>
          <t>Apr-27</t>
        </is>
      </c>
      <c r="C71" t="inlineStr">
        <is>
          <t>Proyectado</t>
        </is>
      </c>
      <c r="D71" s="10">
        <v>-27086</v>
      </c>
      <c r="E71" s="10">
        <v>-200720</v>
      </c>
      <c r="F71" t="inlineStr">
        <is>
          <t>2026-09-15</t>
        </is>
      </c>
      <c r="G71" s="10">
        <v>17433</v>
      </c>
    </row>
    <row r="72">
      <c r="A72" t="inlineStr">
        <is>
          <t>Allegria Foods</t>
        </is>
      </c>
      <c r="B72" t="inlineStr">
        <is>
          <t>May-27</t>
        </is>
      </c>
      <c r="C72" t="inlineStr">
        <is>
          <t>Proyectado</t>
        </is>
      </c>
      <c r="D72" s="10">
        <v>-29252</v>
      </c>
      <c r="E72" s="10">
        <v>-229972</v>
      </c>
      <c r="F72" t="inlineStr">
        <is>
          <t>2026-09-15</t>
        </is>
      </c>
      <c r="G72" s="10">
        <v>17433</v>
      </c>
    </row>
    <row r="73">
      <c r="A73" t="inlineStr">
        <is>
          <t>Allegria Foods</t>
        </is>
      </c>
      <c r="B73" t="inlineStr">
        <is>
          <t>Jun-27</t>
        </is>
      </c>
      <c r="C73" t="inlineStr">
        <is>
          <t>Proyectado</t>
        </is>
      </c>
      <c r="D73" s="10">
        <v>-48573</v>
      </c>
      <c r="E73" s="10">
        <v>-278545</v>
      </c>
      <c r="F73" t="inlineStr">
        <is>
          <t>2026-09-15</t>
        </is>
      </c>
      <c r="G73" s="10">
        <v>17433</v>
      </c>
    </row>
  </sheetData>
</worksheet>
</file>