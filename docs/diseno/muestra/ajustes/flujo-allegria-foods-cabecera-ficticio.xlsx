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egria Foods" sheetId="1" r:id="rId1"/>
    <sheet name="Parametros" sheetId="2" r:id="rId2"/>
    <sheet name="Servicio deu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8">
    <numFmt numFmtId="165" formatCode="[Color10]$#,##0;[Red]($#,##0);-"/>
    <numFmt numFmtId="166" formatCode="[Color10]$#,##0;[Red]($#,##0);-"/>
    <numFmt numFmtId="167" formatCode="$#,##0;($#,##0);-"/>
    <numFmt numFmtId="168" formatCode="[Color10]$#,##0;[Color10]($#,##0);-"/>
    <numFmt numFmtId="169" formatCode="[Color10]$#,##0;[Color10]($#,##0);-"/>
    <numFmt numFmtId="170" formatCode="[Red]$#,##0;[Red]($#,##0);-"/>
    <numFmt numFmtId="171" formatCode="[Red]$#,##0;[Red]($#,##0);-"/>
    <numFmt numFmtId="172" formatCode="$#,##0;($#,##0);-"/>
    <numFmt numFmtId="173" formatCode="[Red]$#,##0;[Red]($#,##0);-"/>
    <numFmt numFmtId="174" formatCode="[Color10]$#,##0;[Color10]($#,##0);-"/>
    <numFmt numFmtId="175" formatCode="[Red]$#,##0;[Red]($#,##0);-"/>
    <numFmt numFmtId="176" formatCode="[Color10]$#,##0;[Red]($#,##0);-"/>
    <numFmt numFmtId="177" formatCode="[Color10]$#,##0;[Red]($#,##0);-"/>
    <numFmt numFmtId="178" formatCode="$#,##0;($#,##0);-"/>
    <numFmt numFmtId="179" formatCode="$#,##0;($#,##0);-"/>
    <numFmt numFmtId="180" formatCode="$#,##0;($#,##0);-"/>
    <numFmt numFmtId="181" formatCode="#,##0.00;-#,##0.00;&quot;OK&quot;"/>
    <numFmt numFmtId="182" formatCode="$#,##0;($#,##0);-"/>
  </numFmts>
  <fonts count="46" x14ac:knownFonts="1">
    <font>
      <sz val="11"/>
      <name val="Calibri"/>
    </font>
    <font>
      <sz val="11"/>
      <name val="Calibri"/>
    </font>
    <font>
      <sz val="13"/>
      <name val="Arial"/>
      <b/>
      <color rgb="1F3864"/>
    </font>
    <font>
      <sz val="13"/>
      <name val="Arial"/>
      <b/>
      <color rgb="1F3864"/>
    </font>
    <font>
      <sz val="10"/>
      <name val="Arial"/>
      <i/>
      <color rgb="475569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b/>
      <color rgb="FFFFFF"/>
    </font>
    <font>
      <sz val="9"/>
      <name val="Arial"/>
      <b/>
      <color rgb="FFFFFF"/>
    </font>
    <font>
      <sz val="9"/>
      <name val="Arial"/>
      <b/>
      <color rgb="FFFFFF"/>
    </font>
    <font>
      <sz val="10"/>
      <name val="Arial"/>
      <b/>
    </font>
    <font>
      <sz val="10"/>
      <name val="Arial"/>
      <b/>
    </font>
    <font>
      <sz val="10"/>
      <name val="Arial"/>
      <b/>
    </font>
    <font>
      <sz val="10"/>
      <name val="Arial"/>
      <color rgb="0000FF"/>
    </font>
    <font>
      <sz val="10"/>
      <name val="Arial"/>
      <b/>
      <color rgb="1F3864"/>
    </font>
    <font>
      <sz val="10"/>
      <name val="Arial"/>
      <b/>
    </font>
    <font>
      <sz val="10"/>
      <name val="Arial"/>
      <b/>
    </font>
    <font>
      <sz val="10"/>
      <name val="Arial"/>
      <b/>
      <color rgb="1F3864"/>
    </font>
    <font>
      <sz val="10"/>
      <name val="Arial"/>
      <b/>
    </font>
    <font>
      <sz val="10"/>
      <name val="Arial"/>
      <b/>
    </font>
    <font>
      <sz val="10"/>
      <name val="Arial"/>
    </font>
    <font>
      <sz val="10"/>
      <name val="Arial"/>
      <color rgb="0000FF"/>
    </font>
    <font>
      <sz val="10"/>
      <name val="Arial"/>
    </font>
    <font>
      <sz val="10"/>
      <name val="Arial"/>
      <b/>
    </font>
    <font>
      <sz val="10"/>
      <name val="Arial"/>
      <b/>
    </font>
    <font>
      <sz val="10"/>
      <name val="Arial"/>
      <b/>
    </font>
    <font>
      <sz val="10"/>
      <name val="Arial"/>
      <b/>
    </font>
    <font>
      <sz val="10"/>
      <name val="Arial"/>
      <b/>
    </font>
    <font>
      <sz val="10"/>
      <name val="Arial"/>
      <b/>
    </font>
    <font>
      <sz val="10"/>
      <name val="Arial"/>
      <b/>
    </font>
    <font>
      <sz val="9"/>
      <name val="Arial"/>
      <i/>
      <color rgb="595959"/>
    </font>
    <font>
      <sz val="13"/>
      <name val="Arial"/>
      <b/>
      <color rgb="FFFFFF"/>
    </font>
    <font>
      <sz val="13"/>
      <name val="Arial"/>
      <b/>
      <color rgb="FFFFFF"/>
    </font>
    <font>
      <sz val="10"/>
      <name val="Arial"/>
      <i/>
      <color rgb="595959"/>
    </font>
    <font>
      <sz val="11"/>
      <name val="Arial"/>
      <b/>
      <color rgb="FFFFFF"/>
    </font>
    <font>
      <sz val="11"/>
      <name val="Arial"/>
      <b/>
      <color rgb="FFFFFF"/>
    </font>
    <font>
      <sz val="10"/>
      <name val="Arial"/>
      <i/>
      <color rgb="FFFFFF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</font>
    <font>
      <sz val="10"/>
      <name val="Arial"/>
      <b/>
    </font>
    <font>
      <sz val="10"/>
      <name val="Arial"/>
      <b/>
    </font>
    <font>
      <sz val="9"/>
      <name val="Arial"/>
      <b/>
      <color rgb="C00000"/>
    </font>
    <font>
      <sz val="9"/>
      <name val="Arial"/>
      <i/>
      <color rgb="7030A0"/>
    </font>
    <font>
      <sz val="9"/>
      <name val="Arial"/>
      <i/>
      <color rgb="7030A0"/>
    </font>
  </fonts>
  <fills count="3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05496"/>
        <bgColor/>
      </patternFill>
    </fill>
    <fill>
      <patternFill patternType="solid">
        <fgColor rgb="FF305496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  <fill>
      <patternFill patternType="solid">
        <fgColor rgb="FFFFF2CC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FFF2CC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D9E1F2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305496"/>
        <bgColor/>
      </patternFill>
    </fill>
    <fill>
      <patternFill patternType="solid">
        <fgColor rgb="FF305496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305496"/>
        <bgColor/>
      </patternFill>
    </fill>
    <fill>
      <patternFill patternType="solid">
        <fgColor rgb="FF30549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>
    <xf numFmtId="0" fontId="0" fillId="0" borderId="0"/>
  </cellStyleXfs>
  <cellXfs count="4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left"/>
    </xf>
    <xf numFmtId="165" fontId="11" fillId="11" borderId="8" xfId="0" applyFont="1" applyFill="1" applyBorder="1" applyNumberFormat="1" applyAlignment="1">
      <alignment horizontal="right"/>
    </xf>
    <xf numFmtId="166" fontId="12" fillId="12" borderId="9" xfId="0" applyFont="1" applyFill="1" applyBorder="1" applyNumberFormat="1" applyAlignment="1">
      <alignment horizontal="right"/>
    </xf>
    <xf numFmtId="167" fontId="13" fillId="13" borderId="10" xfId="0" applyFont="1" applyFill="1" applyBorder="1" applyNumberFormat="1" applyAlignment="1">
      <alignment horizontal="right"/>
    </xf>
    <xf numFmtId="0" fontId="14" fillId="14" borderId="11" xfId="0" applyFont="1" applyFill="1" applyBorder="1" applyAlignment="1">
      <alignment horizontal="left"/>
    </xf>
    <xf numFmtId="168" fontId="15" fillId="15" borderId="12" xfId="0" applyFont="1" applyFill="1" applyBorder="1" applyNumberFormat="1" applyAlignment="1">
      <alignment horizontal="right"/>
    </xf>
    <xf numFmtId="169" fontId="16" fillId="16" borderId="13" xfId="0" applyFont="1" applyFill="1" applyBorder="1" applyNumberFormat="1" applyAlignment="1">
      <alignment horizontal="right"/>
    </xf>
    <xf numFmtId="0" fontId="17" fillId="17" borderId="14" xfId="0" applyFont="1" applyFill="1" applyBorder="1" applyAlignment="1">
      <alignment horizontal="left"/>
    </xf>
    <xf numFmtId="170" fontId="18" fillId="18" borderId="15" xfId="0" applyFont="1" applyFill="1" applyBorder="1" applyNumberFormat="1" applyAlignment="1">
      <alignment horizontal="right"/>
    </xf>
    <xf numFmtId="171" fontId="19" fillId="19" borderId="16" xfId="0" applyFont="1" applyFill="1" applyBorder="1" applyNumberFormat="1" applyAlignment="1">
      <alignment horizontal="right"/>
    </xf>
    <xf numFmtId="0" fontId="20" fillId="0" borderId="17" xfId="0" applyFont="1" applyBorder="1" applyAlignment="1">
      <alignment horizontal="left" indent="1"/>
    </xf>
    <xf numFmtId="172" fontId="21" fillId="20" borderId="18" xfId="0" applyFont="1" applyFill="1" applyBorder="1" applyNumberFormat="1" applyAlignment="1">
      <alignment horizontal="right"/>
    </xf>
    <xf numFmtId="173" fontId="22" fillId="0" borderId="19" xfId="0" applyFont="1" applyBorder="1" applyNumberFormat="1" applyAlignment="1">
      <alignment horizontal="right"/>
    </xf>
    <xf numFmtId="0" fontId="23" fillId="0" borderId="20" xfId="0" applyFont="1" applyBorder="1" applyAlignment="1">
      <alignment horizontal="left"/>
    </xf>
    <xf numFmtId="174" fontId="24" fillId="0" borderId="21" xfId="0" applyFont="1" applyBorder="1" applyNumberFormat="1" applyAlignment="1">
      <alignment horizontal="right"/>
    </xf>
    <xf numFmtId="175" fontId="25" fillId="0" borderId="22" xfId="0" applyFont="1" applyBorder="1" applyNumberFormat="1" applyAlignment="1">
      <alignment horizontal="right"/>
    </xf>
    <xf numFmtId="0" fontId="26" fillId="21" borderId="23" xfId="0" applyFont="1" applyFill="1" applyBorder="1" applyAlignment="1">
      <alignment horizontal="left"/>
    </xf>
    <xf numFmtId="176" fontId="27" fillId="22" borderId="24" xfId="0" applyFont="1" applyFill="1" applyBorder="1" applyNumberFormat="1" applyAlignment="1">
      <alignment horizontal="right"/>
    </xf>
    <xf numFmtId="177" fontId="28" fillId="23" borderId="25" xfId="0" applyFont="1" applyFill="1" applyBorder="1" applyNumberFormat="1" applyAlignment="1">
      <alignment horizontal="right"/>
    </xf>
    <xf numFmtId="0" fontId="29" fillId="24" borderId="26" xfId="0" applyFont="1" applyFill="1" applyBorder="1" applyAlignment="1">
      <alignment horizontal="left"/>
    </xf>
    <xf numFmtId="0" fontId="30" fillId="0" borderId="0" xfId="0" applyFont="1" applyAlignment="1">
      <alignment horizontal="left"/>
    </xf>
    <xf numFmtId="0" fontId="31" fillId="25" borderId="0" xfId="0" applyFont="1" applyFill="1" applyAlignment="1">
      <alignment horizontal="left" vertical="center"/>
    </xf>
    <xf numFmtId="0" fontId="32" fillId="26" borderId="0" xfId="0" applyFont="1" applyFill="1" applyAlignment="1">
      <alignment horizontal="left" vertical="center"/>
    </xf>
    <xf numFmtId="0" fontId="33" fillId="0" borderId="27" xfId="0" applyFont="1" applyBorder="1" applyAlignment="1">
      <alignment horizontal="left" indent="1"/>
    </xf>
    <xf numFmtId="0" fontId="34" fillId="27" borderId="28" xfId="0" applyFont="1" applyFill="1" applyBorder="1" applyAlignment="1">
      <alignment horizontal="left" vertical="center"/>
    </xf>
    <xf numFmtId="0" fontId="35" fillId="28" borderId="29" xfId="0" applyFont="1" applyFill="1" applyBorder="1" applyAlignment="1">
      <alignment horizontal="left" vertical="center"/>
    </xf>
    <xf numFmtId="0" fontId="36" fillId="29" borderId="0" xfId="0" applyFont="1" applyFill="1" applyAlignment="1">
      <alignment horizontal="left" vertical="center"/>
    </xf>
    <xf numFmtId="0" fontId="37" fillId="30" borderId="30" xfId="0" applyFont="1" applyFill="1" applyBorder="1" applyAlignment="1">
      <alignment horizontal="left" vertical="center"/>
    </xf>
    <xf numFmtId="0" fontId="38" fillId="31" borderId="31" xfId="0" applyFont="1" applyFill="1" applyBorder="1" applyAlignment="1">
      <alignment horizontal="left"/>
    </xf>
    <xf numFmtId="0" fontId="39" fillId="32" borderId="32" xfId="0" applyFont="1" applyFill="1" applyBorder="1" applyAlignment="1">
      <alignment horizontal="left"/>
    </xf>
    <xf numFmtId="178" fontId="40" fillId="0" borderId="33" xfId="0" applyFont="1" applyBorder="1" applyNumberFormat="1" applyAlignment="1">
      <alignment horizontal="right"/>
    </xf>
    <xf numFmtId="179" fontId="41" fillId="33" borderId="34" xfId="0" applyFont="1" applyFill="1" applyBorder="1" applyNumberFormat="1" applyAlignment="1">
      <alignment horizontal="right"/>
    </xf>
    <xf numFmtId="180" fontId="42" fillId="34" borderId="35" xfId="0" applyFont="1" applyFill="1" applyBorder="1" applyNumberFormat="1" applyAlignment="1">
      <alignment horizontal="right"/>
    </xf>
    <xf numFmtId="181" fontId="43" fillId="0" borderId="36" xfId="0" applyFont="1" applyBorder="1" applyNumberFormat="1" applyAlignment="1">
      <alignment horizontal="right"/>
    </xf>
    <xf numFmtId="0" fontId="44" fillId="0" borderId="37" xfId="0" applyFont="1" applyBorder="1" applyAlignment="1">
      <alignment horizontal="left" indent="1"/>
    </xf>
    <xf numFmtId="182" fontId="45" fillId="0" borderId="38" xfId="0" applyFont="1" applyBorder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drawings/_rels/drawing1.xml.rels><?xml version="1.0" encoding="UTF-8" standalone="yes"?>
<Relationships xmlns="http://schemas.openxmlformats.org/package/2006/relationships"><Relationship Id="rIdImg1" Type="http://schemas.openxmlformats.org/officeDocument/2006/relationships/image" Target="../media/logo_empresa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619125</xdr:colOff>
      <xdr:row>0</xdr:row>
      <xdr:rowOff>28575</xdr:rowOff>
    </xdr:from>
    <xdr:ext cx="920212" cy="381000"/>
    <xdr:pic>
      <xdr:nvPicPr>
        <xdr:cNvPr id="2" name="Logo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920212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Logo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38"/>
  <sheetViews>
    <sheetView workbookViewId="0" rightToLeft="0"/>
  </sheetViews>
  <cols>
    <col min="1" max="1" width="36.83203125" customWidth="1"/>
    <col min="2" max="2" width="12.33203125" customWidth="1" level="1" outlineLevel="1"/>
    <col min="3" max="3" width="12.33203125" customWidth="1" level="1" outlineLevel="1"/>
    <col min="4" max="4" width="12.33203125" customWidth="1" level="1" outlineLevel="1"/>
    <col min="5" max="5" width="12.33203125" customWidth="1" level="0" outlineLevel="0"/>
    <col min="6" max="6" width="12.33203125" customWidth="1" level="1" outlineLevel="1"/>
    <col min="7" max="7" width="12.33203125" customWidth="1" level="1" outlineLevel="1"/>
    <col min="8" max="8" width="12.33203125" customWidth="1" level="1" outlineLevel="1"/>
    <col min="9" max="9" width="12.33203125" customWidth="1" level="1" outlineLevel="1"/>
    <col min="10" max="10" width="12.33203125" customWidth="1" level="1" outlineLevel="1"/>
    <col min="11" max="11" width="12.33203125" customWidth="1" level="1" outlineLevel="1"/>
    <col min="12" max="12" width="12.33203125" customWidth="1" level="1" outlineLevel="1"/>
    <col min="13" max="13" width="12.33203125" customWidth="1" level="1" outlineLevel="1"/>
    <col min="14" max="14" width="12.33203125" customWidth="1" level="1" outlineLevel="1"/>
    <col min="15" max="15" width="12.33203125" customWidth="1" level="1" outlineLevel="1"/>
    <col min="16" max="16" width="12.33203125" customWidth="1" level="1" outlineLevel="1"/>
    <col min="17" max="17" width="12.33203125" customWidth="1" level="1" outlineLevel="1"/>
    <col min="18" max="18" width="12.33203125" customWidth="1" level="0" outlineLevel="0"/>
    <col min="19" max="19" width="12.33203125" customWidth="1" level="1" outlineLevel="1"/>
    <col min="20" max="20" width="12.33203125" customWidth="1" level="1" outlineLevel="1"/>
    <col min="21" max="21" width="12.33203125" customWidth="1" level="1" outlineLevel="1"/>
    <col min="22" max="22" width="12.33203125" customWidth="1" level="1" outlineLevel="1"/>
    <col min="23" max="23" width="12.33203125" customWidth="1" level="1" outlineLevel="1"/>
    <col min="24" max="24" width="12.33203125" customWidth="1" level="1" outlineLevel="1"/>
    <col min="25" max="25" width="12.33203125" customWidth="1" level="1" outlineLevel="1"/>
    <col min="26" max="26" width="12.33203125" customWidth="1" level="1" outlineLevel="1"/>
    <col min="27" max="27" width="12.33203125" customWidth="1" level="1" outlineLevel="1"/>
    <col min="28" max="28" width="12.33203125" customWidth="1" level="1" outlineLevel="1"/>
    <col min="29" max="29" width="12.33203125" customWidth="1" level="1" outlineLevel="1"/>
    <col min="30" max="30" width="12.33203125" customWidth="1" level="1" outlineLevel="1"/>
    <col min="31" max="31" width="12.33203125" customWidth="1" level="0" outlineLevel="0"/>
    <col min="32" max="32" width="12.33203125" customWidth="1" level="1" outlineLevel="1"/>
    <col min="33" max="33" width="12.33203125" customWidth="1" level="1" outlineLevel="1"/>
    <col min="34" max="34" width="12.33203125" customWidth="1" level="1" outlineLevel="1"/>
    <col min="35" max="35" width="12.33203125" customWidth="1" level="1" outlineLevel="1"/>
    <col min="36" max="36" width="12.33203125" customWidth="1" level="1" outlineLevel="1"/>
    <col min="37" max="37" width="12.33203125" customWidth="1" level="1" outlineLevel="1"/>
    <col min="38" max="38" width="12.33203125" customWidth="1" level="1" outlineLevel="1"/>
    <col min="39" max="39" width="12.33203125" customWidth="1" level="1" outlineLevel="1"/>
    <col min="40" max="40" width="12.33203125" customWidth="1" level="1" outlineLevel="1"/>
    <col min="41" max="41" width="12.33203125" customWidth="1" level="1" outlineLevel="1"/>
    <col min="42" max="42" width="12.33203125" customWidth="1" level="1" outlineLevel="1"/>
    <col min="43" max="43" width="12.33203125" customWidth="1" level="1" outlineLevel="1"/>
    <col min="44" max="44" width="12.33203125" customWidth="1" level="0" outlineLevel="0"/>
    <col min="45" max="45" width="12.33203125" customWidth="1" level="1" outlineLevel="1"/>
    <col min="46" max="46" width="12.33203125" customWidth="1" level="1" outlineLevel="1"/>
    <col min="47" max="47" width="12.33203125" customWidth="1" level="1" outlineLevel="1"/>
    <col min="48" max="48" width="12.33203125" customWidth="1" level="1" outlineLevel="1"/>
    <col min="49" max="49" width="12.33203125" customWidth="1" level="1" outlineLevel="1"/>
    <col min="50" max="50" width="12.33203125" customWidth="1" level="1" outlineLevel="1"/>
    <col min="51" max="51" width="12.33203125" customWidth="1" level="1" outlineLevel="1"/>
    <col min="52" max="52" width="12.33203125" customWidth="1" level="1" outlineLevel="1"/>
    <col min="53" max="53" width="12.33203125" customWidth="1" level="1" outlineLevel="1"/>
    <col min="54" max="54" width="12.33203125" customWidth="1" level="1" outlineLevel="1"/>
    <col min="55" max="55" width="12.33203125" customWidth="1" level="1" outlineLevel="1"/>
    <col min="56" max="56" width="12.33203125" customWidth="1" level="1" outlineLevel="1"/>
    <col min="57" max="57" width="12.33203125" customWidth="1" level="0" outlineLevel="0"/>
    <col min="58" max="58" width="12.33203125" customWidth="1" level="1" outlineLevel="1"/>
    <col min="59" max="59" width="12.33203125" customWidth="1" level="1" outlineLevel="1"/>
    <col min="60" max="60" width="12.33203125" customWidth="1" level="1" outlineLevel="1"/>
    <col min="61" max="61" width="12.33203125" customWidth="1" level="1" outlineLevel="1"/>
    <col min="62" max="62" width="12.33203125" customWidth="1" level="1" outlineLevel="1"/>
    <col min="63" max="63" width="12.33203125" customWidth="1" level="1" outlineLevel="1"/>
    <col min="64" max="64" width="12.33203125" customWidth="1" level="1" outlineLevel="1"/>
    <col min="65" max="65" width="12.33203125" customWidth="1" level="1" outlineLevel="1"/>
    <col min="66" max="66" width="12.33203125" customWidth="1" level="1" outlineLevel="1"/>
    <col min="67" max="67" width="12.33203125" customWidth="1" level="1" outlineLevel="1"/>
    <col min="68" max="68" width="12.33203125" customWidth="1" level="1" outlineLevel="1"/>
    <col min="69" max="69" width="12.33203125" customWidth="1" level="1" outlineLevel="1"/>
    <col min="70" max="70" width="12.33203125" customWidth="1" level="0" outlineLevel="0"/>
    <col min="71" max="71" width="13.83203125" customWidth="1" level="0" outlineLevel="0"/>
  </cols>
  <sheetData>
    <row r="1" ht="52" customHeight="1">
      <c r="A1" s="3" t="str">
        <v>🍒 Allegria Foods</v>
      </c>
      <c r="B1" s="4" t="str">
        <v/>
      </c>
      <c r="C1" s="4" t="str">
        <v/>
      </c>
      <c r="D1" s="4" t="str">
        <v/>
      </c>
      <c r="E1" s="4" t="str">
        <v/>
      </c>
      <c r="F1" s="5" t="str">
        <v>Exportación frutas · Chile</v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  <c r="BC1" s="4" t="str">
        <v/>
      </c>
      <c r="BD1" s="4" t="str">
        <v/>
      </c>
      <c r="BE1" s="4" t="str">
        <v/>
      </c>
      <c r="BF1" s="4" t="str">
        <v/>
      </c>
      <c r="BG1" s="4" t="str">
        <v/>
      </c>
      <c r="BH1" s="4" t="str">
        <v/>
      </c>
      <c r="BI1" s="4" t="str">
        <v/>
      </c>
      <c r="BJ1" s="4" t="str">
        <v/>
      </c>
      <c r="BK1" s="4" t="str">
        <v/>
      </c>
      <c r="BL1" s="4" t="str">
        <v/>
      </c>
      <c r="BM1" s="4" t="str">
        <v/>
      </c>
      <c r="BN1" s="4" t="str">
        <v/>
      </c>
      <c r="BO1" s="4" t="str">
        <v/>
      </c>
      <c r="BP1" s="4" t="str">
        <v/>
      </c>
      <c r="BQ1" s="4" t="str">
        <v/>
      </c>
      <c r="BR1" s="4" t="str">
        <v/>
      </c>
      <c r="BS1" s="4" t="str">
        <v/>
      </c>
    </row>
    <row r="2">
      <c r="A2" s="6" t="str">
        <v/>
      </c>
      <c r="B2" s="7" t="str">
        <v>Temporada 2025-2026</v>
      </c>
      <c r="C2" s="7" t="str">
        <v/>
      </c>
      <c r="D2" s="7" t="str">
        <v/>
      </c>
      <c r="E2" s="7" t="str">
        <v/>
      </c>
      <c r="F2" s="7" t="str">
        <v>Temporada 2026-2027</v>
      </c>
      <c r="G2" s="7" t="str">
        <v/>
      </c>
      <c r="H2" s="7" t="str">
        <v/>
      </c>
      <c r="I2" s="7" t="str">
        <v/>
      </c>
      <c r="J2" s="7" t="str">
        <v/>
      </c>
      <c r="K2" s="7" t="str">
        <v/>
      </c>
      <c r="L2" s="7" t="str">
        <v/>
      </c>
      <c r="M2" s="7" t="str">
        <v/>
      </c>
      <c r="N2" s="7" t="str">
        <v/>
      </c>
      <c r="O2" s="7" t="str">
        <v/>
      </c>
      <c r="P2" s="7" t="str">
        <v/>
      </c>
      <c r="Q2" s="7" t="str">
        <v/>
      </c>
      <c r="R2" s="7" t="str">
        <v/>
      </c>
      <c r="S2" s="7" t="str">
        <v>Temporada 2027-2028</v>
      </c>
      <c r="T2" s="7" t="str">
        <v/>
      </c>
      <c r="U2" s="7" t="str">
        <v/>
      </c>
      <c r="V2" s="7" t="str">
        <v/>
      </c>
      <c r="W2" s="7" t="str">
        <v/>
      </c>
      <c r="X2" s="7" t="str">
        <v/>
      </c>
      <c r="Y2" s="7" t="str">
        <v/>
      </c>
      <c r="Z2" s="7" t="str">
        <v/>
      </c>
      <c r="AA2" s="7" t="str">
        <v/>
      </c>
      <c r="AB2" s="7" t="str">
        <v/>
      </c>
      <c r="AC2" s="7" t="str">
        <v/>
      </c>
      <c r="AD2" s="7" t="str">
        <v/>
      </c>
      <c r="AE2" s="7" t="str">
        <v/>
      </c>
      <c r="AF2" s="7" t="str">
        <v>Temporada 2028-2029</v>
      </c>
      <c r="AG2" s="7" t="str">
        <v/>
      </c>
      <c r="AH2" s="7" t="str">
        <v/>
      </c>
      <c r="AI2" s="7" t="str">
        <v/>
      </c>
      <c r="AJ2" s="7" t="str">
        <v/>
      </c>
      <c r="AK2" s="7" t="str">
        <v/>
      </c>
      <c r="AL2" s="7" t="str">
        <v/>
      </c>
      <c r="AM2" s="7" t="str">
        <v/>
      </c>
      <c r="AN2" s="7" t="str">
        <v/>
      </c>
      <c r="AO2" s="7" t="str">
        <v/>
      </c>
      <c r="AP2" s="7" t="str">
        <v/>
      </c>
      <c r="AQ2" s="7" t="str">
        <v/>
      </c>
      <c r="AR2" s="7" t="str">
        <v/>
      </c>
      <c r="AS2" s="7" t="str">
        <v>Temporada 2029-2030</v>
      </c>
      <c r="AT2" s="7" t="str">
        <v/>
      </c>
      <c r="AU2" s="7" t="str">
        <v/>
      </c>
      <c r="AV2" s="7" t="str">
        <v/>
      </c>
      <c r="AW2" s="7" t="str">
        <v/>
      </c>
      <c r="AX2" s="7" t="str">
        <v/>
      </c>
      <c r="AY2" s="7" t="str">
        <v/>
      </c>
      <c r="AZ2" s="7" t="str">
        <v/>
      </c>
      <c r="BA2" s="7" t="str">
        <v/>
      </c>
      <c r="BB2" s="7" t="str">
        <v/>
      </c>
      <c r="BC2" s="7" t="str">
        <v/>
      </c>
      <c r="BD2" s="7" t="str">
        <v/>
      </c>
      <c r="BE2" s="7" t="str">
        <v/>
      </c>
      <c r="BF2" s="7" t="str">
        <v>Temporada 2030-2031</v>
      </c>
      <c r="BG2" s="7" t="str">
        <v/>
      </c>
      <c r="BH2" s="7" t="str">
        <v/>
      </c>
      <c r="BI2" s="7" t="str">
        <v/>
      </c>
      <c r="BJ2" s="7" t="str">
        <v/>
      </c>
      <c r="BK2" s="7" t="str">
        <v/>
      </c>
      <c r="BL2" s="7" t="str">
        <v/>
      </c>
      <c r="BM2" s="7" t="str">
        <v/>
      </c>
      <c r="BN2" s="7" t="str">
        <v/>
      </c>
      <c r="BO2" s="7" t="str">
        <v/>
      </c>
      <c r="BP2" s="7" t="str">
        <v/>
      </c>
      <c r="BQ2" s="7" t="str">
        <v/>
      </c>
      <c r="BR2" s="7" t="str">
        <v/>
      </c>
    </row>
    <row r="3">
      <c r="A3" s="8" t="str">
        <v>Concepto</v>
      </c>
      <c r="B3" s="9" t="str">
        <v>Apr-26</v>
      </c>
      <c r="C3" s="10" t="str">
        <v>May-26</v>
      </c>
      <c r="D3" s="10" t="str">
        <v>Jun-26</v>
      </c>
      <c r="E3" s="10" t="str">
        <v>Temp 2025-2026</v>
      </c>
      <c r="F3" s="10" t="str">
        <v>Jul-26</v>
      </c>
      <c r="G3" s="10" t="str">
        <v>Aug-26</v>
      </c>
      <c r="H3" s="10" t="str">
        <v>Sep-26</v>
      </c>
      <c r="I3" s="10" t="str">
        <v>Oct-26</v>
      </c>
      <c r="J3" s="10" t="str">
        <v>Nov-26</v>
      </c>
      <c r="K3" s="10" t="str">
        <v>Dec-26</v>
      </c>
      <c r="L3" s="10" t="str">
        <v>Jan-27</v>
      </c>
      <c r="M3" s="10" t="str">
        <v>Feb-27</v>
      </c>
      <c r="N3" s="10" t="str">
        <v>Mar-27</v>
      </c>
      <c r="O3" s="10" t="str">
        <v>Apr-27</v>
      </c>
      <c r="P3" s="10" t="str">
        <v>May-27</v>
      </c>
      <c r="Q3" s="10" t="str">
        <v>Jun-27</v>
      </c>
      <c r="R3" s="10" t="str">
        <v>Temp 2026-2027</v>
      </c>
      <c r="S3" s="10" t="str">
        <v>Jul-27</v>
      </c>
      <c r="T3" s="10" t="str">
        <v>Aug-27</v>
      </c>
      <c r="U3" s="10" t="str">
        <v>Sep-27</v>
      </c>
      <c r="V3" s="10" t="str">
        <v>Oct-27</v>
      </c>
      <c r="W3" s="10" t="str">
        <v>Nov-27</v>
      </c>
      <c r="X3" s="10" t="str">
        <v>Dec-27</v>
      </c>
      <c r="Y3" s="10" t="str">
        <v>Jan-28</v>
      </c>
      <c r="Z3" s="10" t="str">
        <v>Feb-28</v>
      </c>
      <c r="AA3" s="10" t="str">
        <v>Mar-28</v>
      </c>
      <c r="AB3" s="10" t="str">
        <v>Apr-28</v>
      </c>
      <c r="AC3" s="10" t="str">
        <v>May-28</v>
      </c>
      <c r="AD3" s="10" t="str">
        <v>Jun-28</v>
      </c>
      <c r="AE3" s="10" t="str">
        <v>Temp 2027-2028</v>
      </c>
      <c r="AF3" s="10" t="str">
        <v>Jul-28</v>
      </c>
      <c r="AG3" s="10" t="str">
        <v>Aug-28</v>
      </c>
      <c r="AH3" s="10" t="str">
        <v>Sep-28</v>
      </c>
      <c r="AI3" s="10" t="str">
        <v>Oct-28</v>
      </c>
      <c r="AJ3" s="10" t="str">
        <v>Nov-28</v>
      </c>
      <c r="AK3" s="10" t="str">
        <v>Dec-28</v>
      </c>
      <c r="AL3" s="10" t="str">
        <v>Jan-29</v>
      </c>
      <c r="AM3" s="10" t="str">
        <v>Feb-29</v>
      </c>
      <c r="AN3" s="10" t="str">
        <v>Mar-29</v>
      </c>
      <c r="AO3" s="10" t="str">
        <v>Apr-29</v>
      </c>
      <c r="AP3" s="10" t="str">
        <v>May-29</v>
      </c>
      <c r="AQ3" s="10" t="str">
        <v>Jun-29</v>
      </c>
      <c r="AR3" s="10" t="str">
        <v>Temp 2028-2029</v>
      </c>
      <c r="AS3" s="10" t="str">
        <v>Jul-29</v>
      </c>
      <c r="AT3" s="10" t="str">
        <v>Aug-29</v>
      </c>
      <c r="AU3" s="10" t="str">
        <v>Sep-29</v>
      </c>
      <c r="AV3" s="10" t="str">
        <v>Oct-29</v>
      </c>
      <c r="AW3" s="10" t="str">
        <v>Nov-29</v>
      </c>
      <c r="AX3" s="10" t="str">
        <v>Dec-29</v>
      </c>
      <c r="AY3" s="10" t="str">
        <v>Jan-30</v>
      </c>
      <c r="AZ3" s="10" t="str">
        <v>Feb-30</v>
      </c>
      <c r="BA3" s="10" t="str">
        <v>Mar-30</v>
      </c>
      <c r="BB3" s="10" t="str">
        <v>Apr-30</v>
      </c>
      <c r="BC3" s="10" t="str">
        <v>May-30</v>
      </c>
      <c r="BD3" s="10" t="str">
        <v>Jun-30</v>
      </c>
      <c r="BE3" s="10" t="str">
        <v>Temp 2029-2030</v>
      </c>
      <c r="BF3" s="10" t="str">
        <v>Jul-30</v>
      </c>
      <c r="BG3" s="10" t="str">
        <v>Aug-30</v>
      </c>
      <c r="BH3" s="10" t="str">
        <v>Sep-30</v>
      </c>
      <c r="BI3" s="10" t="str">
        <v>Oct-30</v>
      </c>
      <c r="BJ3" s="10" t="str">
        <v>Nov-30</v>
      </c>
      <c r="BK3" s="10" t="str">
        <v>Dec-30</v>
      </c>
      <c r="BL3" s="10" t="str">
        <v>Jan-31</v>
      </c>
      <c r="BM3" s="10" t="str">
        <v>Feb-31</v>
      </c>
      <c r="BN3" s="10" t="str">
        <v>Mar-31</v>
      </c>
      <c r="BO3" s="10" t="str">
        <v>Apr-31</v>
      </c>
      <c r="BP3" s="10" t="str">
        <v>May-31</v>
      </c>
      <c r="BQ3" s="10" t="str">
        <v>Jun-31</v>
      </c>
      <c r="BR3" s="10" t="str">
        <v>Temp 2030-2031</v>
      </c>
      <c r="BS3" s="10" t="str">
        <v>TOTAL</v>
      </c>
    </row>
    <row r="4">
      <c r="A4" s="11" t="str">
        <v>Saldo inicial caja</v>
      </c>
      <c r="B4" s="12" t="str">
        <v/>
      </c>
      <c r="C4" s="13" t="str">
        <v/>
      </c>
      <c r="D4" s="13" t="str">
        <v/>
      </c>
      <c r="E4" s="13" t="str">
        <v/>
      </c>
      <c r="F4" s="13" t="str">
        <v/>
      </c>
      <c r="G4" s="13" t="str">
        <v/>
      </c>
      <c r="H4" s="13" t="str">
        <v/>
      </c>
      <c r="I4" s="14">
        <v>17433</v>
      </c>
      <c r="J4" s="13">
        <f>I34</f>
        <v>-14135</v>
      </c>
      <c r="K4" s="13">
        <f>J34</f>
        <v>-45565</v>
      </c>
      <c r="L4" s="13">
        <f>K34</f>
        <v>-86695</v>
      </c>
      <c r="M4" s="13">
        <f>L34</f>
        <v>-117584</v>
      </c>
      <c r="N4" s="13">
        <f>M34</f>
        <v>-146548</v>
      </c>
      <c r="O4" s="13">
        <f>N34</f>
        <v>-173634</v>
      </c>
      <c r="P4" s="13">
        <f>O34</f>
        <v>-200720</v>
      </c>
      <c r="Q4" s="13">
        <f>P34</f>
        <v>-229972</v>
      </c>
      <c r="R4" s="13">
        <f>I4</f>
        <v>17433</v>
      </c>
      <c r="S4" s="13">
        <f>Q34</f>
        <v>-278545</v>
      </c>
      <c r="T4" s="13">
        <f>S34</f>
        <v>-314148</v>
      </c>
      <c r="U4" s="13">
        <f>T34</f>
        <v>-344566</v>
      </c>
      <c r="V4" s="13">
        <f>U34</f>
        <v>-374675</v>
      </c>
      <c r="W4" s="13">
        <f>V34</f>
        <v>-407170</v>
      </c>
      <c r="X4" s="13">
        <f>W34</f>
        <v>-439523</v>
      </c>
      <c r="Y4" s="13">
        <f>X34</f>
        <v>-481867</v>
      </c>
      <c r="Z4" s="13">
        <f>Y34</f>
        <v>-513663</v>
      </c>
      <c r="AA4" s="13">
        <f>Z34</f>
        <v>-543476</v>
      </c>
      <c r="AB4" s="13">
        <f>AA34</f>
        <v>-571354</v>
      </c>
      <c r="AC4" s="13">
        <f>AB34</f>
        <v>-599232</v>
      </c>
      <c r="AD4" s="13">
        <f>AC34</f>
        <v>-629341</v>
      </c>
      <c r="AE4" s="13">
        <f>S4</f>
        <v>-278545</v>
      </c>
      <c r="AF4" s="13">
        <f>AD34</f>
        <v>-679351</v>
      </c>
      <c r="AG4" s="13">
        <f>AF34</f>
        <v>-716000</v>
      </c>
      <c r="AH4" s="13">
        <f>AG34</f>
        <v>-747309</v>
      </c>
      <c r="AI4" s="13">
        <f>AH34</f>
        <v>-778299</v>
      </c>
      <c r="AJ4" s="13">
        <f>AI34</f>
        <v>-811746</v>
      </c>
      <c r="AK4" s="13">
        <f>AJ34</f>
        <v>-845047</v>
      </c>
      <c r="AL4" s="13">
        <f>AK34</f>
        <v>-888638</v>
      </c>
      <c r="AM4" s="13">
        <f>AL34</f>
        <v>-921365</v>
      </c>
      <c r="AN4" s="13">
        <f>AM34</f>
        <v>-952049</v>
      </c>
      <c r="AO4" s="13">
        <f>AN34</f>
        <v>-980741</v>
      </c>
      <c r="AP4" s="13">
        <f>AO34</f>
        <v>-1009433</v>
      </c>
      <c r="AQ4" s="13">
        <f>AP34</f>
        <v>-1040423</v>
      </c>
      <c r="AR4" s="13">
        <f>AF4</f>
        <v>-679351</v>
      </c>
      <c r="AS4" s="13">
        <f>AQ34</f>
        <v>-1091910</v>
      </c>
      <c r="AT4" s="13">
        <f>AS34</f>
        <v>-1129638</v>
      </c>
      <c r="AU4" s="13">
        <f>AT34</f>
        <v>-1161865</v>
      </c>
      <c r="AV4" s="13">
        <f>AU34</f>
        <v>-1193764</v>
      </c>
      <c r="AW4" s="13">
        <f>AV34</f>
        <v>-1228194</v>
      </c>
      <c r="AX4" s="13">
        <f>AW34</f>
        <v>-1262473</v>
      </c>
      <c r="AY4" s="13">
        <f>AX34</f>
        <v>-1307351</v>
      </c>
      <c r="AZ4" s="13">
        <f>AY34</f>
        <v>-1341039</v>
      </c>
      <c r="BA4" s="13">
        <f>AZ34</f>
        <v>-1372623</v>
      </c>
      <c r="BB4" s="13">
        <f>BA34</f>
        <v>-1402155</v>
      </c>
      <c r="BC4" s="13">
        <f>BB34</f>
        <v>-1431687</v>
      </c>
      <c r="BD4" s="13">
        <f>BC34</f>
        <v>-1463586</v>
      </c>
      <c r="BE4" s="13">
        <f>AS4</f>
        <v>-1091910</v>
      </c>
      <c r="BF4" s="13">
        <f>BD34</f>
        <v>-1516597</v>
      </c>
      <c r="BG4" s="13">
        <f>BF34</f>
        <v>-1555438</v>
      </c>
      <c r="BH4" s="13">
        <f>BG34</f>
        <v>-1588612</v>
      </c>
      <c r="BI4" s="13">
        <f>BH34</f>
        <v>-1621449</v>
      </c>
      <c r="BJ4" s="13">
        <f>BI34</f>
        <v>-1656893</v>
      </c>
      <c r="BK4" s="13">
        <f>BJ34</f>
        <v>-1692181</v>
      </c>
      <c r="BL4" s="13">
        <f>BK34</f>
        <v>-1738387</v>
      </c>
      <c r="BM4" s="13">
        <f>BL34</f>
        <v>-1773066</v>
      </c>
      <c r="BN4" s="13">
        <f>BM34</f>
        <v>-1805579</v>
      </c>
      <c r="BO4" s="13">
        <f>BN34</f>
        <v>-1835979</v>
      </c>
      <c r="BP4" s="13">
        <f>BO34</f>
        <v>-1866379</v>
      </c>
      <c r="BQ4" s="13">
        <f>BP34</f>
        <v>-1899216</v>
      </c>
      <c r="BR4" s="13">
        <f>BF4</f>
        <v>-1516597</v>
      </c>
      <c r="BS4" s="13">
        <f>I4</f>
        <v>17433</v>
      </c>
    </row>
    <row r="5" outlineLevel="1">
      <c r="A5" s="15" t="str">
        <v>· Ingresos Operacionales</v>
      </c>
      <c r="B5" s="16">
        <v>0</v>
      </c>
      <c r="C5" s="17">
        <v>0</v>
      </c>
      <c r="D5" s="17">
        <v>0</v>
      </c>
      <c r="E5" s="17">
        <f>SUM(B5:D5)</f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f>SUM(F5:Q5)</f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f>SUM(S5:AD5)</f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f>SUM(AF5:AQ5)</f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f>SUM(AS5:BD5)</f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f>SUM(BF5:BQ5)</f>
        <v>0</v>
      </c>
      <c r="BS5" s="17">
        <f>SUM(E5,R5,AE5,AR5,BE5,BR5)</f>
        <v>0</v>
      </c>
    </row>
    <row r="6" outlineLevel="1">
      <c r="A6" s="18" t="str">
        <v>· Ingresos No Operacionales</v>
      </c>
      <c r="B6" s="17">
        <v>0</v>
      </c>
      <c r="C6" s="17">
        <v>0</v>
      </c>
      <c r="D6" s="17">
        <v>0</v>
      </c>
      <c r="E6" s="17">
        <f>SUM(B6:D6)</f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f>SUM(F6:Q6)</f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f>SUM(S6:AD6)</f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f>SUM(AF6:AQ6)</f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f>SUM(AS6:BD6)</f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f>SUM(BF6:BQ6)</f>
        <v>0</v>
      </c>
      <c r="BS6" s="17">
        <f>SUM(E6,R6,AE6,AR6,BE6,BR6)</f>
        <v>0</v>
      </c>
    </row>
    <row r="7" outlineLevel="1">
      <c r="A7" s="18" t="str">
        <v>· Egresos Operacionales (variables)</v>
      </c>
      <c r="B7" s="19">
        <v>0</v>
      </c>
      <c r="C7" s="20">
        <v>0</v>
      </c>
      <c r="D7" s="20">
        <v>0</v>
      </c>
      <c r="E7" s="20">
        <f>SUM(B7:D7)</f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f>SUM(F7:Q7)</f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f>SUM(S7:AD7)</f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f>SUM(AF7:AQ7)</f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f>SUM(AS7:BD7)</f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f>SUM(BF7:BQ7)</f>
        <v>0</v>
      </c>
      <c r="BS7" s="20">
        <f>SUM(E7,R7,AE7,AR7,BE7,BR7)</f>
        <v>0</v>
      </c>
    </row>
    <row r="8" outlineLevel="2">
      <c r="A8" s="21" t="str">
        <v>Remuneración Administración</v>
      </c>
      <c r="B8" s="22">
        <v>17316</v>
      </c>
      <c r="C8" s="22">
        <v>17316</v>
      </c>
      <c r="D8" s="22">
        <v>17316</v>
      </c>
      <c r="E8" s="23">
        <f>SUM(B8:D8)</f>
        <v>51948</v>
      </c>
      <c r="F8" s="22">
        <v>17316</v>
      </c>
      <c r="G8" s="22">
        <v>12982</v>
      </c>
      <c r="H8" s="22">
        <v>12982</v>
      </c>
      <c r="I8" s="22">
        <v>14860</v>
      </c>
      <c r="J8" s="22">
        <v>14860</v>
      </c>
      <c r="K8" s="22">
        <v>14860</v>
      </c>
      <c r="L8" s="22">
        <v>12694</v>
      </c>
      <c r="M8" s="22">
        <v>12694</v>
      </c>
      <c r="N8" s="22">
        <v>10816</v>
      </c>
      <c r="O8" s="22">
        <v>10816</v>
      </c>
      <c r="P8" s="22">
        <v>12982</v>
      </c>
      <c r="Q8" s="22">
        <v>32303</v>
      </c>
      <c r="R8" s="23">
        <f>SUM(F8:Q8)</f>
        <v>180165</v>
      </c>
      <c r="S8" s="22">
        <v>17835</v>
      </c>
      <c r="T8" s="22">
        <v>13371</v>
      </c>
      <c r="U8" s="22">
        <v>13371</v>
      </c>
      <c r="V8" s="22">
        <v>15306</v>
      </c>
      <c r="W8" s="22">
        <v>15306</v>
      </c>
      <c r="X8" s="22">
        <v>15306</v>
      </c>
      <c r="Y8" s="22">
        <v>13075</v>
      </c>
      <c r="Z8" s="22">
        <v>13075</v>
      </c>
      <c r="AA8" s="22">
        <v>11140</v>
      </c>
      <c r="AB8" s="22">
        <v>11140</v>
      </c>
      <c r="AC8" s="22">
        <v>13371</v>
      </c>
      <c r="AD8" s="22">
        <v>33272</v>
      </c>
      <c r="AE8" s="23">
        <f>SUM(S8:AD8)</f>
        <v>185568</v>
      </c>
      <c r="AF8" s="22">
        <v>18371</v>
      </c>
      <c r="AG8" s="22">
        <v>13773</v>
      </c>
      <c r="AH8" s="22">
        <v>13773</v>
      </c>
      <c r="AI8" s="22">
        <v>15765</v>
      </c>
      <c r="AJ8" s="22">
        <v>15765</v>
      </c>
      <c r="AK8" s="22">
        <v>15765</v>
      </c>
      <c r="AL8" s="22">
        <v>13467</v>
      </c>
      <c r="AM8" s="22">
        <v>13467</v>
      </c>
      <c r="AN8" s="22">
        <v>11475</v>
      </c>
      <c r="AO8" s="22">
        <v>11475</v>
      </c>
      <c r="AP8" s="22">
        <v>13773</v>
      </c>
      <c r="AQ8" s="22">
        <v>34270</v>
      </c>
      <c r="AR8" s="23">
        <f>SUM(AF8:AQ8)</f>
        <v>191139</v>
      </c>
      <c r="AS8" s="22">
        <v>18922</v>
      </c>
      <c r="AT8" s="22">
        <v>14186</v>
      </c>
      <c r="AU8" s="22">
        <v>14186</v>
      </c>
      <c r="AV8" s="22">
        <v>16238</v>
      </c>
      <c r="AW8" s="22">
        <v>16238</v>
      </c>
      <c r="AX8" s="22">
        <v>16238</v>
      </c>
      <c r="AY8" s="22">
        <v>13871</v>
      </c>
      <c r="AZ8" s="22">
        <v>13871</v>
      </c>
      <c r="BA8" s="22">
        <v>11819</v>
      </c>
      <c r="BB8" s="22">
        <v>11819</v>
      </c>
      <c r="BC8" s="22">
        <v>14186</v>
      </c>
      <c r="BD8" s="22">
        <v>35298</v>
      </c>
      <c r="BE8" s="23">
        <f>SUM(AS8:BD8)</f>
        <v>196872</v>
      </c>
      <c r="BF8" s="22">
        <v>19489</v>
      </c>
      <c r="BG8" s="22">
        <v>14611</v>
      </c>
      <c r="BH8" s="22">
        <v>14611</v>
      </c>
      <c r="BI8" s="22">
        <v>16725</v>
      </c>
      <c r="BJ8" s="22">
        <v>16725</v>
      </c>
      <c r="BK8" s="22">
        <v>16725</v>
      </c>
      <c r="BL8" s="22">
        <v>14287</v>
      </c>
      <c r="BM8" s="22">
        <v>14287</v>
      </c>
      <c r="BN8" s="22">
        <v>12174</v>
      </c>
      <c r="BO8" s="22">
        <v>12174</v>
      </c>
      <c r="BP8" s="22">
        <v>14611</v>
      </c>
      <c r="BQ8" s="22">
        <v>36357</v>
      </c>
      <c r="BR8" s="23">
        <f>SUM(BF8:BQ8)</f>
        <v>202776</v>
      </c>
      <c r="BS8" s="23">
        <f>SUM(E8,R8,AE8,AR8,BE8,BR8)</f>
        <v>1008468</v>
      </c>
    </row>
    <row r="9" outlineLevel="2">
      <c r="A9" s="21" t="str">
        <v>Aguinaldo</v>
      </c>
      <c r="B9" s="22">
        <v>0</v>
      </c>
      <c r="C9" s="22">
        <v>0</v>
      </c>
      <c r="D9" s="22">
        <v>0</v>
      </c>
      <c r="E9" s="23">
        <f>SUM(B9:D9)</f>
        <v>0</v>
      </c>
      <c r="F9" s="22">
        <v>0</v>
      </c>
      <c r="G9" s="22">
        <v>0</v>
      </c>
      <c r="H9" s="22">
        <v>0</v>
      </c>
      <c r="I9" s="22">
        <v>438</v>
      </c>
      <c r="J9" s="22">
        <v>0</v>
      </c>
      <c r="K9" s="22">
        <v>0</v>
      </c>
      <c r="L9" s="22">
        <v>625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3">
        <f>SUM(F9:Q9)</f>
        <v>1063</v>
      </c>
      <c r="S9" s="22">
        <v>0</v>
      </c>
      <c r="T9" s="22">
        <v>0</v>
      </c>
      <c r="U9" s="22">
        <v>0</v>
      </c>
      <c r="V9" s="22">
        <v>451</v>
      </c>
      <c r="W9" s="22">
        <v>0</v>
      </c>
      <c r="X9" s="22">
        <v>0</v>
      </c>
      <c r="Y9" s="22">
        <v>644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3">
        <f>SUM(S9:AD9)</f>
        <v>1095</v>
      </c>
      <c r="AF9" s="22">
        <v>0</v>
      </c>
      <c r="AG9" s="22">
        <v>0</v>
      </c>
      <c r="AH9" s="22">
        <v>0</v>
      </c>
      <c r="AI9" s="22">
        <v>465</v>
      </c>
      <c r="AJ9" s="22">
        <v>0</v>
      </c>
      <c r="AK9" s="22">
        <v>0</v>
      </c>
      <c r="AL9" s="22">
        <v>663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3">
        <f>SUM(AF9:AQ9)</f>
        <v>1128</v>
      </c>
      <c r="AS9" s="22">
        <v>0</v>
      </c>
      <c r="AT9" s="22">
        <v>0</v>
      </c>
      <c r="AU9" s="22">
        <v>0</v>
      </c>
      <c r="AV9" s="22">
        <v>479</v>
      </c>
      <c r="AW9" s="22">
        <v>0</v>
      </c>
      <c r="AX9" s="22">
        <v>0</v>
      </c>
      <c r="AY9" s="22">
        <v>683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3">
        <f>SUM(AS9:BD9)</f>
        <v>1162</v>
      </c>
      <c r="BF9" s="22">
        <v>0</v>
      </c>
      <c r="BG9" s="22">
        <v>0</v>
      </c>
      <c r="BH9" s="22">
        <v>0</v>
      </c>
      <c r="BI9" s="22">
        <v>493</v>
      </c>
      <c r="BJ9" s="22">
        <v>0</v>
      </c>
      <c r="BK9" s="22">
        <v>0</v>
      </c>
      <c r="BL9" s="22">
        <v>703</v>
      </c>
      <c r="BM9" s="22">
        <v>0</v>
      </c>
      <c r="BN9" s="22">
        <v>0</v>
      </c>
      <c r="BO9" s="22">
        <v>0</v>
      </c>
      <c r="BP9" s="22">
        <v>0</v>
      </c>
      <c r="BQ9" s="22">
        <v>0</v>
      </c>
      <c r="BR9" s="23">
        <f>SUM(BF9:BQ9)</f>
        <v>1196</v>
      </c>
      <c r="BS9" s="23">
        <f>SUM(E9,R9,AE9,AR9,BE9,BR9)</f>
        <v>5644</v>
      </c>
    </row>
    <row r="10" outlineLevel="2">
      <c r="A10" s="21" t="str">
        <v>Seguro Complementario Salud</v>
      </c>
      <c r="B10" s="22">
        <v>100</v>
      </c>
      <c r="C10" s="22">
        <v>100</v>
      </c>
      <c r="D10" s="22">
        <v>100</v>
      </c>
      <c r="E10" s="23">
        <f>SUM(B10:D10)</f>
        <v>300</v>
      </c>
      <c r="F10" s="22">
        <v>100</v>
      </c>
      <c r="G10" s="22">
        <v>100</v>
      </c>
      <c r="H10" s="22">
        <v>100</v>
      </c>
      <c r="I10" s="22">
        <v>100</v>
      </c>
      <c r="J10" s="22">
        <v>100</v>
      </c>
      <c r="K10" s="22">
        <v>100</v>
      </c>
      <c r="L10" s="22">
        <v>100</v>
      </c>
      <c r="M10" s="22">
        <v>100</v>
      </c>
      <c r="N10" s="22">
        <v>100</v>
      </c>
      <c r="O10" s="22">
        <v>100</v>
      </c>
      <c r="P10" s="22">
        <v>100</v>
      </c>
      <c r="Q10" s="22">
        <v>100</v>
      </c>
      <c r="R10" s="23">
        <f>SUM(F10:Q10)</f>
        <v>1200</v>
      </c>
      <c r="S10" s="22">
        <v>103</v>
      </c>
      <c r="T10" s="22">
        <v>103</v>
      </c>
      <c r="U10" s="22">
        <v>103</v>
      </c>
      <c r="V10" s="22">
        <v>103</v>
      </c>
      <c r="W10" s="22">
        <v>103</v>
      </c>
      <c r="X10" s="22">
        <v>103</v>
      </c>
      <c r="Y10" s="22">
        <v>103</v>
      </c>
      <c r="Z10" s="22">
        <v>103</v>
      </c>
      <c r="AA10" s="22">
        <v>103</v>
      </c>
      <c r="AB10" s="22">
        <v>103</v>
      </c>
      <c r="AC10" s="22">
        <v>103</v>
      </c>
      <c r="AD10" s="22">
        <v>103</v>
      </c>
      <c r="AE10" s="23">
        <f>SUM(S10:AD10)</f>
        <v>1236</v>
      </c>
      <c r="AF10" s="22">
        <v>106</v>
      </c>
      <c r="AG10" s="22">
        <v>106</v>
      </c>
      <c r="AH10" s="22">
        <v>106</v>
      </c>
      <c r="AI10" s="22">
        <v>106</v>
      </c>
      <c r="AJ10" s="22">
        <v>106</v>
      </c>
      <c r="AK10" s="22">
        <v>106</v>
      </c>
      <c r="AL10" s="22">
        <v>106</v>
      </c>
      <c r="AM10" s="22">
        <v>106</v>
      </c>
      <c r="AN10" s="22">
        <v>106</v>
      </c>
      <c r="AO10" s="22">
        <v>106</v>
      </c>
      <c r="AP10" s="22">
        <v>106</v>
      </c>
      <c r="AQ10" s="22">
        <v>106</v>
      </c>
      <c r="AR10" s="23">
        <f>SUM(AF10:AQ10)</f>
        <v>1272</v>
      </c>
      <c r="AS10" s="22">
        <v>109</v>
      </c>
      <c r="AT10" s="22">
        <v>109</v>
      </c>
      <c r="AU10" s="22">
        <v>109</v>
      </c>
      <c r="AV10" s="22">
        <v>109</v>
      </c>
      <c r="AW10" s="22">
        <v>109</v>
      </c>
      <c r="AX10" s="22">
        <v>109</v>
      </c>
      <c r="AY10" s="22">
        <v>109</v>
      </c>
      <c r="AZ10" s="22">
        <v>109</v>
      </c>
      <c r="BA10" s="22">
        <v>109</v>
      </c>
      <c r="BB10" s="22">
        <v>109</v>
      </c>
      <c r="BC10" s="22">
        <v>109</v>
      </c>
      <c r="BD10" s="22">
        <v>109</v>
      </c>
      <c r="BE10" s="23">
        <f>SUM(AS10:BD10)</f>
        <v>1308</v>
      </c>
      <c r="BF10" s="22">
        <v>113</v>
      </c>
      <c r="BG10" s="22">
        <v>113</v>
      </c>
      <c r="BH10" s="22">
        <v>113</v>
      </c>
      <c r="BI10" s="22">
        <v>113</v>
      </c>
      <c r="BJ10" s="22">
        <v>113</v>
      </c>
      <c r="BK10" s="22">
        <v>113</v>
      </c>
      <c r="BL10" s="22">
        <v>113</v>
      </c>
      <c r="BM10" s="22">
        <v>113</v>
      </c>
      <c r="BN10" s="22">
        <v>113</v>
      </c>
      <c r="BO10" s="22">
        <v>113</v>
      </c>
      <c r="BP10" s="22">
        <v>113</v>
      </c>
      <c r="BQ10" s="22">
        <v>113</v>
      </c>
      <c r="BR10" s="23">
        <f>SUM(BF10:BQ10)</f>
        <v>1356</v>
      </c>
      <c r="BS10" s="23">
        <f>SUM(E10,R10,AE10,AR10,BE10,BR10)</f>
        <v>6672</v>
      </c>
    </row>
    <row r="11" outlineLevel="2">
      <c r="A11" s="21" t="str">
        <v>Teléfonos Celulares</v>
      </c>
      <c r="B11" s="22">
        <v>60</v>
      </c>
      <c r="C11" s="22">
        <v>60</v>
      </c>
      <c r="D11" s="22">
        <v>60</v>
      </c>
      <c r="E11" s="23">
        <f>SUM(B11:D11)</f>
        <v>180</v>
      </c>
      <c r="F11" s="22">
        <v>60</v>
      </c>
      <c r="G11" s="22">
        <v>60</v>
      </c>
      <c r="H11" s="22">
        <v>60</v>
      </c>
      <c r="I11" s="22">
        <v>60</v>
      </c>
      <c r="J11" s="22">
        <v>60</v>
      </c>
      <c r="K11" s="22">
        <v>60</v>
      </c>
      <c r="L11" s="22">
        <v>60</v>
      </c>
      <c r="M11" s="22">
        <v>60</v>
      </c>
      <c r="N11" s="22">
        <v>60</v>
      </c>
      <c r="O11" s="22">
        <v>60</v>
      </c>
      <c r="P11" s="22">
        <v>60</v>
      </c>
      <c r="Q11" s="22">
        <v>60</v>
      </c>
      <c r="R11" s="23">
        <f>SUM(F11:Q11)</f>
        <v>720</v>
      </c>
      <c r="S11" s="22">
        <v>62</v>
      </c>
      <c r="T11" s="22">
        <v>62</v>
      </c>
      <c r="U11" s="22">
        <v>62</v>
      </c>
      <c r="V11" s="22">
        <v>62</v>
      </c>
      <c r="W11" s="22">
        <v>62</v>
      </c>
      <c r="X11" s="22">
        <v>62</v>
      </c>
      <c r="Y11" s="22">
        <v>62</v>
      </c>
      <c r="Z11" s="22">
        <v>62</v>
      </c>
      <c r="AA11" s="22">
        <v>62</v>
      </c>
      <c r="AB11" s="22">
        <v>62</v>
      </c>
      <c r="AC11" s="22">
        <v>62</v>
      </c>
      <c r="AD11" s="22">
        <v>62</v>
      </c>
      <c r="AE11" s="23">
        <f>SUM(S11:AD11)</f>
        <v>744</v>
      </c>
      <c r="AF11" s="22">
        <v>64</v>
      </c>
      <c r="AG11" s="22">
        <v>64</v>
      </c>
      <c r="AH11" s="22">
        <v>64</v>
      </c>
      <c r="AI11" s="22">
        <v>64</v>
      </c>
      <c r="AJ11" s="22">
        <v>64</v>
      </c>
      <c r="AK11" s="22">
        <v>64</v>
      </c>
      <c r="AL11" s="22">
        <v>64</v>
      </c>
      <c r="AM11" s="22">
        <v>64</v>
      </c>
      <c r="AN11" s="22">
        <v>64</v>
      </c>
      <c r="AO11" s="22">
        <v>64</v>
      </c>
      <c r="AP11" s="22">
        <v>64</v>
      </c>
      <c r="AQ11" s="22">
        <v>64</v>
      </c>
      <c r="AR11" s="23">
        <f>SUM(AF11:AQ11)</f>
        <v>768</v>
      </c>
      <c r="AS11" s="22">
        <v>66</v>
      </c>
      <c r="AT11" s="22">
        <v>66</v>
      </c>
      <c r="AU11" s="22">
        <v>66</v>
      </c>
      <c r="AV11" s="22">
        <v>66</v>
      </c>
      <c r="AW11" s="22">
        <v>66</v>
      </c>
      <c r="AX11" s="22">
        <v>66</v>
      </c>
      <c r="AY11" s="22">
        <v>66</v>
      </c>
      <c r="AZ11" s="22">
        <v>66</v>
      </c>
      <c r="BA11" s="22">
        <v>66</v>
      </c>
      <c r="BB11" s="22">
        <v>66</v>
      </c>
      <c r="BC11" s="22">
        <v>66</v>
      </c>
      <c r="BD11" s="22">
        <v>66</v>
      </c>
      <c r="BE11" s="23">
        <f>SUM(AS11:BD11)</f>
        <v>792</v>
      </c>
      <c r="BF11" s="22">
        <v>68</v>
      </c>
      <c r="BG11" s="22">
        <v>68</v>
      </c>
      <c r="BH11" s="22">
        <v>68</v>
      </c>
      <c r="BI11" s="22">
        <v>68</v>
      </c>
      <c r="BJ11" s="22">
        <v>68</v>
      </c>
      <c r="BK11" s="22">
        <v>68</v>
      </c>
      <c r="BL11" s="22">
        <v>68</v>
      </c>
      <c r="BM11" s="22">
        <v>68</v>
      </c>
      <c r="BN11" s="22">
        <v>68</v>
      </c>
      <c r="BO11" s="22">
        <v>68</v>
      </c>
      <c r="BP11" s="22">
        <v>68</v>
      </c>
      <c r="BQ11" s="22">
        <v>68</v>
      </c>
      <c r="BR11" s="23">
        <f>SUM(BF11:BQ11)</f>
        <v>816</v>
      </c>
      <c r="BS11" s="23">
        <f>SUM(E11,R11,AE11,AR11,BE11,BR11)</f>
        <v>4020</v>
      </c>
    </row>
    <row r="12" outlineLevel="2">
      <c r="A12" s="21" t="str">
        <v>Arriendo Camionetas</v>
      </c>
      <c r="B12" s="22">
        <v>2600</v>
      </c>
      <c r="C12" s="22">
        <v>2600</v>
      </c>
      <c r="D12" s="22">
        <v>2600</v>
      </c>
      <c r="E12" s="23">
        <f>SUM(B12:D12)</f>
        <v>7800</v>
      </c>
      <c r="F12" s="22">
        <v>2600</v>
      </c>
      <c r="G12" s="22">
        <v>2600</v>
      </c>
      <c r="H12" s="22">
        <v>2600</v>
      </c>
      <c r="I12" s="22">
        <v>2600</v>
      </c>
      <c r="J12" s="22">
        <v>2600</v>
      </c>
      <c r="K12" s="22">
        <v>2600</v>
      </c>
      <c r="L12" s="22">
        <v>2600</v>
      </c>
      <c r="M12" s="22">
        <v>2600</v>
      </c>
      <c r="N12" s="22">
        <v>2600</v>
      </c>
      <c r="O12" s="22">
        <v>2600</v>
      </c>
      <c r="P12" s="22">
        <v>2600</v>
      </c>
      <c r="Q12" s="22">
        <v>2600</v>
      </c>
      <c r="R12" s="23">
        <f>SUM(F12:Q12)</f>
        <v>31200</v>
      </c>
      <c r="S12" s="22">
        <v>2678</v>
      </c>
      <c r="T12" s="22">
        <v>2678</v>
      </c>
      <c r="U12" s="22">
        <v>2678</v>
      </c>
      <c r="V12" s="22">
        <v>2678</v>
      </c>
      <c r="W12" s="22">
        <v>2678</v>
      </c>
      <c r="X12" s="22">
        <v>2678</v>
      </c>
      <c r="Y12" s="22">
        <v>2678</v>
      </c>
      <c r="Z12" s="22">
        <v>2678</v>
      </c>
      <c r="AA12" s="22">
        <v>2678</v>
      </c>
      <c r="AB12" s="22">
        <v>2678</v>
      </c>
      <c r="AC12" s="22">
        <v>2678</v>
      </c>
      <c r="AD12" s="22">
        <v>2678</v>
      </c>
      <c r="AE12" s="23">
        <f>SUM(S12:AD12)</f>
        <v>32136</v>
      </c>
      <c r="AF12" s="22">
        <v>2758</v>
      </c>
      <c r="AG12" s="22">
        <v>2758</v>
      </c>
      <c r="AH12" s="22">
        <v>2758</v>
      </c>
      <c r="AI12" s="22">
        <v>2758</v>
      </c>
      <c r="AJ12" s="22">
        <v>2758</v>
      </c>
      <c r="AK12" s="22">
        <v>2758</v>
      </c>
      <c r="AL12" s="22">
        <v>2758</v>
      </c>
      <c r="AM12" s="22">
        <v>2758</v>
      </c>
      <c r="AN12" s="22">
        <v>2758</v>
      </c>
      <c r="AO12" s="22">
        <v>2758</v>
      </c>
      <c r="AP12" s="22">
        <v>2758</v>
      </c>
      <c r="AQ12" s="22">
        <v>2758</v>
      </c>
      <c r="AR12" s="23">
        <f>SUM(AF12:AQ12)</f>
        <v>33096</v>
      </c>
      <c r="AS12" s="22">
        <v>2841</v>
      </c>
      <c r="AT12" s="22">
        <v>2841</v>
      </c>
      <c r="AU12" s="22">
        <v>2841</v>
      </c>
      <c r="AV12" s="22">
        <v>2841</v>
      </c>
      <c r="AW12" s="22">
        <v>2841</v>
      </c>
      <c r="AX12" s="22">
        <v>2841</v>
      </c>
      <c r="AY12" s="22">
        <v>2841</v>
      </c>
      <c r="AZ12" s="22">
        <v>2841</v>
      </c>
      <c r="BA12" s="22">
        <v>2841</v>
      </c>
      <c r="BB12" s="22">
        <v>2841</v>
      </c>
      <c r="BC12" s="22">
        <v>2841</v>
      </c>
      <c r="BD12" s="22">
        <v>2841</v>
      </c>
      <c r="BE12" s="23">
        <f>SUM(AS12:BD12)</f>
        <v>34092</v>
      </c>
      <c r="BF12" s="22">
        <v>2926</v>
      </c>
      <c r="BG12" s="22">
        <v>2926</v>
      </c>
      <c r="BH12" s="22">
        <v>2926</v>
      </c>
      <c r="BI12" s="22">
        <v>2926</v>
      </c>
      <c r="BJ12" s="22">
        <v>2926</v>
      </c>
      <c r="BK12" s="22">
        <v>2926</v>
      </c>
      <c r="BL12" s="22">
        <v>2926</v>
      </c>
      <c r="BM12" s="22">
        <v>2926</v>
      </c>
      <c r="BN12" s="22">
        <v>2926</v>
      </c>
      <c r="BO12" s="22">
        <v>2926</v>
      </c>
      <c r="BP12" s="22">
        <v>2926</v>
      </c>
      <c r="BQ12" s="22">
        <v>2926</v>
      </c>
      <c r="BR12" s="23">
        <f>SUM(BF12:BQ12)</f>
        <v>35112</v>
      </c>
      <c r="BS12" s="23">
        <f>SUM(E12,R12,AE12,AR12,BE12,BR12)</f>
        <v>173436</v>
      </c>
    </row>
    <row r="13" outlineLevel="2">
      <c r="A13" s="21" t="str">
        <v>Energía Eléctrica</v>
      </c>
      <c r="B13" s="22">
        <v>60</v>
      </c>
      <c r="C13" s="22">
        <v>60</v>
      </c>
      <c r="D13" s="22">
        <v>60</v>
      </c>
      <c r="E13" s="23">
        <f>SUM(B13:D13)</f>
        <v>180</v>
      </c>
      <c r="F13" s="22">
        <v>60</v>
      </c>
      <c r="G13" s="22">
        <v>60</v>
      </c>
      <c r="H13" s="22">
        <v>60</v>
      </c>
      <c r="I13" s="22">
        <v>60</v>
      </c>
      <c r="J13" s="22">
        <v>60</v>
      </c>
      <c r="K13" s="22">
        <v>60</v>
      </c>
      <c r="L13" s="22">
        <v>60</v>
      </c>
      <c r="M13" s="22">
        <v>60</v>
      </c>
      <c r="N13" s="22">
        <v>60</v>
      </c>
      <c r="O13" s="22">
        <v>60</v>
      </c>
      <c r="P13" s="22">
        <v>60</v>
      </c>
      <c r="Q13" s="22">
        <v>60</v>
      </c>
      <c r="R13" s="23">
        <f>SUM(F13:Q13)</f>
        <v>720</v>
      </c>
      <c r="S13" s="22">
        <v>62</v>
      </c>
      <c r="T13" s="22">
        <v>62</v>
      </c>
      <c r="U13" s="22">
        <v>62</v>
      </c>
      <c r="V13" s="22">
        <v>62</v>
      </c>
      <c r="W13" s="22">
        <v>62</v>
      </c>
      <c r="X13" s="22">
        <v>62</v>
      </c>
      <c r="Y13" s="22">
        <v>62</v>
      </c>
      <c r="Z13" s="22">
        <v>62</v>
      </c>
      <c r="AA13" s="22">
        <v>62</v>
      </c>
      <c r="AB13" s="22">
        <v>62</v>
      </c>
      <c r="AC13" s="22">
        <v>62</v>
      </c>
      <c r="AD13" s="22">
        <v>62</v>
      </c>
      <c r="AE13" s="23">
        <f>SUM(S13:AD13)</f>
        <v>744</v>
      </c>
      <c r="AF13" s="22">
        <v>64</v>
      </c>
      <c r="AG13" s="22">
        <v>64</v>
      </c>
      <c r="AH13" s="22">
        <v>64</v>
      </c>
      <c r="AI13" s="22">
        <v>64</v>
      </c>
      <c r="AJ13" s="22">
        <v>64</v>
      </c>
      <c r="AK13" s="22">
        <v>64</v>
      </c>
      <c r="AL13" s="22">
        <v>64</v>
      </c>
      <c r="AM13" s="22">
        <v>64</v>
      </c>
      <c r="AN13" s="22">
        <v>64</v>
      </c>
      <c r="AO13" s="22">
        <v>64</v>
      </c>
      <c r="AP13" s="22">
        <v>64</v>
      </c>
      <c r="AQ13" s="22">
        <v>64</v>
      </c>
      <c r="AR13" s="23">
        <f>SUM(AF13:AQ13)</f>
        <v>768</v>
      </c>
      <c r="AS13" s="22">
        <v>66</v>
      </c>
      <c r="AT13" s="22">
        <v>66</v>
      </c>
      <c r="AU13" s="22">
        <v>66</v>
      </c>
      <c r="AV13" s="22">
        <v>66</v>
      </c>
      <c r="AW13" s="22">
        <v>66</v>
      </c>
      <c r="AX13" s="22">
        <v>66</v>
      </c>
      <c r="AY13" s="22">
        <v>66</v>
      </c>
      <c r="AZ13" s="22">
        <v>66</v>
      </c>
      <c r="BA13" s="22">
        <v>66</v>
      </c>
      <c r="BB13" s="22">
        <v>66</v>
      </c>
      <c r="BC13" s="22">
        <v>66</v>
      </c>
      <c r="BD13" s="22">
        <v>66</v>
      </c>
      <c r="BE13" s="23">
        <f>SUM(AS13:BD13)</f>
        <v>792</v>
      </c>
      <c r="BF13" s="22">
        <v>68</v>
      </c>
      <c r="BG13" s="22">
        <v>68</v>
      </c>
      <c r="BH13" s="22">
        <v>68</v>
      </c>
      <c r="BI13" s="22">
        <v>68</v>
      </c>
      <c r="BJ13" s="22">
        <v>68</v>
      </c>
      <c r="BK13" s="22">
        <v>68</v>
      </c>
      <c r="BL13" s="22">
        <v>68</v>
      </c>
      <c r="BM13" s="22">
        <v>68</v>
      </c>
      <c r="BN13" s="22">
        <v>68</v>
      </c>
      <c r="BO13" s="22">
        <v>68</v>
      </c>
      <c r="BP13" s="22">
        <v>68</v>
      </c>
      <c r="BQ13" s="22">
        <v>68</v>
      </c>
      <c r="BR13" s="23">
        <f>SUM(BF13:BQ13)</f>
        <v>816</v>
      </c>
      <c r="BS13" s="23">
        <f>SUM(E13,R13,AE13,AR13,BE13,BR13)</f>
        <v>4020</v>
      </c>
    </row>
    <row r="14" outlineLevel="2">
      <c r="A14" s="21" t="str">
        <v>Gastos Seguros</v>
      </c>
      <c r="B14" s="22">
        <v>800</v>
      </c>
      <c r="C14" s="22">
        <v>800</v>
      </c>
      <c r="D14" s="22">
        <v>800</v>
      </c>
      <c r="E14" s="23">
        <f>SUM(B14:D14)</f>
        <v>2400</v>
      </c>
      <c r="F14" s="22">
        <v>800</v>
      </c>
      <c r="G14" s="22">
        <v>800</v>
      </c>
      <c r="H14" s="22">
        <v>800</v>
      </c>
      <c r="I14" s="22">
        <v>800</v>
      </c>
      <c r="J14" s="22">
        <v>800</v>
      </c>
      <c r="K14" s="22">
        <v>800</v>
      </c>
      <c r="L14" s="22">
        <v>800</v>
      </c>
      <c r="M14" s="22">
        <v>800</v>
      </c>
      <c r="N14" s="22">
        <v>800</v>
      </c>
      <c r="O14" s="22">
        <v>800</v>
      </c>
      <c r="P14" s="22">
        <v>800</v>
      </c>
      <c r="Q14" s="22">
        <v>800</v>
      </c>
      <c r="R14" s="23">
        <f>SUM(F14:Q14)</f>
        <v>9600</v>
      </c>
      <c r="S14" s="22">
        <v>824</v>
      </c>
      <c r="T14" s="22">
        <v>824</v>
      </c>
      <c r="U14" s="22">
        <v>824</v>
      </c>
      <c r="V14" s="22">
        <v>824</v>
      </c>
      <c r="W14" s="22">
        <v>824</v>
      </c>
      <c r="X14" s="22">
        <v>824</v>
      </c>
      <c r="Y14" s="22">
        <v>824</v>
      </c>
      <c r="Z14" s="22">
        <v>824</v>
      </c>
      <c r="AA14" s="22">
        <v>824</v>
      </c>
      <c r="AB14" s="22">
        <v>824</v>
      </c>
      <c r="AC14" s="22">
        <v>824</v>
      </c>
      <c r="AD14" s="22">
        <v>824</v>
      </c>
      <c r="AE14" s="23">
        <f>SUM(S14:AD14)</f>
        <v>9888</v>
      </c>
      <c r="AF14" s="22">
        <v>849</v>
      </c>
      <c r="AG14" s="22">
        <v>849</v>
      </c>
      <c r="AH14" s="22">
        <v>849</v>
      </c>
      <c r="AI14" s="22">
        <v>849</v>
      </c>
      <c r="AJ14" s="22">
        <v>849</v>
      </c>
      <c r="AK14" s="22">
        <v>849</v>
      </c>
      <c r="AL14" s="22">
        <v>849</v>
      </c>
      <c r="AM14" s="22">
        <v>849</v>
      </c>
      <c r="AN14" s="22">
        <v>849</v>
      </c>
      <c r="AO14" s="22">
        <v>849</v>
      </c>
      <c r="AP14" s="22">
        <v>849</v>
      </c>
      <c r="AQ14" s="22">
        <v>849</v>
      </c>
      <c r="AR14" s="23">
        <f>SUM(AF14:AQ14)</f>
        <v>10188</v>
      </c>
      <c r="AS14" s="22">
        <v>874</v>
      </c>
      <c r="AT14" s="22">
        <v>874</v>
      </c>
      <c r="AU14" s="22">
        <v>874</v>
      </c>
      <c r="AV14" s="22">
        <v>874</v>
      </c>
      <c r="AW14" s="22">
        <v>874</v>
      </c>
      <c r="AX14" s="22">
        <v>874</v>
      </c>
      <c r="AY14" s="22">
        <v>874</v>
      </c>
      <c r="AZ14" s="22">
        <v>874</v>
      </c>
      <c r="BA14" s="22">
        <v>874</v>
      </c>
      <c r="BB14" s="22">
        <v>874</v>
      </c>
      <c r="BC14" s="22">
        <v>874</v>
      </c>
      <c r="BD14" s="22">
        <v>874</v>
      </c>
      <c r="BE14" s="23">
        <f>SUM(AS14:BD14)</f>
        <v>10488</v>
      </c>
      <c r="BF14" s="22">
        <v>900</v>
      </c>
      <c r="BG14" s="22">
        <v>900</v>
      </c>
      <c r="BH14" s="22">
        <v>900</v>
      </c>
      <c r="BI14" s="22">
        <v>900</v>
      </c>
      <c r="BJ14" s="22">
        <v>900</v>
      </c>
      <c r="BK14" s="22">
        <v>900</v>
      </c>
      <c r="BL14" s="22">
        <v>900</v>
      </c>
      <c r="BM14" s="22">
        <v>900</v>
      </c>
      <c r="BN14" s="22">
        <v>900</v>
      </c>
      <c r="BO14" s="22">
        <v>900</v>
      </c>
      <c r="BP14" s="22">
        <v>900</v>
      </c>
      <c r="BQ14" s="22">
        <v>900</v>
      </c>
      <c r="BR14" s="23">
        <f>SUM(BF14:BQ14)</f>
        <v>10800</v>
      </c>
      <c r="BS14" s="23">
        <f>SUM(E14,R14,AE14,AR14,BE14,BR14)</f>
        <v>53364</v>
      </c>
    </row>
    <row r="15" outlineLevel="2">
      <c r="A15" s="21" t="str">
        <v>Gastos Comunes</v>
      </c>
      <c r="B15" s="22">
        <v>450</v>
      </c>
      <c r="C15" s="22">
        <v>450</v>
      </c>
      <c r="D15" s="22">
        <v>450</v>
      </c>
      <c r="E15" s="23">
        <f>SUM(B15:D15)</f>
        <v>1350</v>
      </c>
      <c r="F15" s="22">
        <v>450</v>
      </c>
      <c r="G15" s="22">
        <v>450</v>
      </c>
      <c r="H15" s="22">
        <v>450</v>
      </c>
      <c r="I15" s="22">
        <v>450</v>
      </c>
      <c r="J15" s="22">
        <v>450</v>
      </c>
      <c r="K15" s="22">
        <v>450</v>
      </c>
      <c r="L15" s="22">
        <v>450</v>
      </c>
      <c r="M15" s="22">
        <v>450</v>
      </c>
      <c r="N15" s="22">
        <v>450</v>
      </c>
      <c r="O15" s="22">
        <v>450</v>
      </c>
      <c r="P15" s="22">
        <v>450</v>
      </c>
      <c r="Q15" s="22">
        <v>450</v>
      </c>
      <c r="R15" s="23">
        <f>SUM(F15:Q15)</f>
        <v>5400</v>
      </c>
      <c r="S15" s="22">
        <v>464</v>
      </c>
      <c r="T15" s="22">
        <v>464</v>
      </c>
      <c r="U15" s="22">
        <v>464</v>
      </c>
      <c r="V15" s="22">
        <v>464</v>
      </c>
      <c r="W15" s="22">
        <v>464</v>
      </c>
      <c r="X15" s="22">
        <v>464</v>
      </c>
      <c r="Y15" s="22">
        <v>464</v>
      </c>
      <c r="Z15" s="22">
        <v>464</v>
      </c>
      <c r="AA15" s="22">
        <v>464</v>
      </c>
      <c r="AB15" s="22">
        <v>464</v>
      </c>
      <c r="AC15" s="22">
        <v>464</v>
      </c>
      <c r="AD15" s="22">
        <v>464</v>
      </c>
      <c r="AE15" s="23">
        <f>SUM(S15:AD15)</f>
        <v>5568</v>
      </c>
      <c r="AF15" s="22">
        <v>477</v>
      </c>
      <c r="AG15" s="22">
        <v>477</v>
      </c>
      <c r="AH15" s="22">
        <v>477</v>
      </c>
      <c r="AI15" s="22">
        <v>477</v>
      </c>
      <c r="AJ15" s="22">
        <v>477</v>
      </c>
      <c r="AK15" s="22">
        <v>477</v>
      </c>
      <c r="AL15" s="22">
        <v>477</v>
      </c>
      <c r="AM15" s="22">
        <v>477</v>
      </c>
      <c r="AN15" s="22">
        <v>477</v>
      </c>
      <c r="AO15" s="22">
        <v>477</v>
      </c>
      <c r="AP15" s="22">
        <v>477</v>
      </c>
      <c r="AQ15" s="22">
        <v>477</v>
      </c>
      <c r="AR15" s="23">
        <f>SUM(AF15:AQ15)</f>
        <v>5724</v>
      </c>
      <c r="AS15" s="22">
        <v>492</v>
      </c>
      <c r="AT15" s="22">
        <v>492</v>
      </c>
      <c r="AU15" s="22">
        <v>492</v>
      </c>
      <c r="AV15" s="22">
        <v>492</v>
      </c>
      <c r="AW15" s="22">
        <v>492</v>
      </c>
      <c r="AX15" s="22">
        <v>492</v>
      </c>
      <c r="AY15" s="22">
        <v>492</v>
      </c>
      <c r="AZ15" s="22">
        <v>492</v>
      </c>
      <c r="BA15" s="22">
        <v>492</v>
      </c>
      <c r="BB15" s="22">
        <v>492</v>
      </c>
      <c r="BC15" s="22">
        <v>492</v>
      </c>
      <c r="BD15" s="22">
        <v>492</v>
      </c>
      <c r="BE15" s="23">
        <f>SUM(AS15:BD15)</f>
        <v>5904</v>
      </c>
      <c r="BF15" s="22">
        <v>506</v>
      </c>
      <c r="BG15" s="22">
        <v>506</v>
      </c>
      <c r="BH15" s="22">
        <v>506</v>
      </c>
      <c r="BI15" s="22">
        <v>506</v>
      </c>
      <c r="BJ15" s="22">
        <v>506</v>
      </c>
      <c r="BK15" s="22">
        <v>506</v>
      </c>
      <c r="BL15" s="22">
        <v>506</v>
      </c>
      <c r="BM15" s="22">
        <v>506</v>
      </c>
      <c r="BN15" s="22">
        <v>506</v>
      </c>
      <c r="BO15" s="22">
        <v>506</v>
      </c>
      <c r="BP15" s="22">
        <v>506</v>
      </c>
      <c r="BQ15" s="22">
        <v>506</v>
      </c>
      <c r="BR15" s="23">
        <f>SUM(BF15:BQ15)</f>
        <v>6072</v>
      </c>
      <c r="BS15" s="23">
        <f>SUM(E15,R15,AE15,AR15,BE15,BR15)</f>
        <v>30018</v>
      </c>
    </row>
    <row r="16" outlineLevel="2">
      <c r="A16" s="21" t="str">
        <v>Arriendo Oficina</v>
      </c>
      <c r="B16" s="22">
        <v>2700</v>
      </c>
      <c r="C16" s="22">
        <v>2700</v>
      </c>
      <c r="D16" s="22">
        <v>2700</v>
      </c>
      <c r="E16" s="23">
        <f>SUM(B16:D16)</f>
        <v>8100</v>
      </c>
      <c r="F16" s="22">
        <v>2700</v>
      </c>
      <c r="G16" s="22">
        <v>2700</v>
      </c>
      <c r="H16" s="22">
        <v>2700</v>
      </c>
      <c r="I16" s="22">
        <v>2700</v>
      </c>
      <c r="J16" s="22">
        <v>2700</v>
      </c>
      <c r="K16" s="22">
        <v>2700</v>
      </c>
      <c r="L16" s="22">
        <v>2700</v>
      </c>
      <c r="M16" s="22">
        <v>2700</v>
      </c>
      <c r="N16" s="22">
        <v>2700</v>
      </c>
      <c r="O16" s="22">
        <v>2700</v>
      </c>
      <c r="P16" s="22">
        <v>2700</v>
      </c>
      <c r="Q16" s="22">
        <v>2700</v>
      </c>
      <c r="R16" s="23">
        <f>SUM(F16:Q16)</f>
        <v>32400</v>
      </c>
      <c r="S16" s="22">
        <v>2781</v>
      </c>
      <c r="T16" s="22">
        <v>2781</v>
      </c>
      <c r="U16" s="22">
        <v>2781</v>
      </c>
      <c r="V16" s="22">
        <v>2781</v>
      </c>
      <c r="W16" s="22">
        <v>2781</v>
      </c>
      <c r="X16" s="22">
        <v>2781</v>
      </c>
      <c r="Y16" s="22">
        <v>2781</v>
      </c>
      <c r="Z16" s="22">
        <v>2781</v>
      </c>
      <c r="AA16" s="22">
        <v>2781</v>
      </c>
      <c r="AB16" s="22">
        <v>2781</v>
      </c>
      <c r="AC16" s="22">
        <v>2781</v>
      </c>
      <c r="AD16" s="22">
        <v>2781</v>
      </c>
      <c r="AE16" s="23">
        <f>SUM(S16:AD16)</f>
        <v>33372</v>
      </c>
      <c r="AF16" s="22">
        <v>2864</v>
      </c>
      <c r="AG16" s="22">
        <v>2864</v>
      </c>
      <c r="AH16" s="22">
        <v>2864</v>
      </c>
      <c r="AI16" s="22">
        <v>2864</v>
      </c>
      <c r="AJ16" s="22">
        <v>2864</v>
      </c>
      <c r="AK16" s="22">
        <v>2864</v>
      </c>
      <c r="AL16" s="22">
        <v>2864</v>
      </c>
      <c r="AM16" s="22">
        <v>2864</v>
      </c>
      <c r="AN16" s="22">
        <v>2864</v>
      </c>
      <c r="AO16" s="22">
        <v>2864</v>
      </c>
      <c r="AP16" s="22">
        <v>2864</v>
      </c>
      <c r="AQ16" s="22">
        <v>2864</v>
      </c>
      <c r="AR16" s="23">
        <f>SUM(AF16:AQ16)</f>
        <v>34368</v>
      </c>
      <c r="AS16" s="22">
        <v>2950</v>
      </c>
      <c r="AT16" s="22">
        <v>2950</v>
      </c>
      <c r="AU16" s="22">
        <v>2950</v>
      </c>
      <c r="AV16" s="22">
        <v>2950</v>
      </c>
      <c r="AW16" s="22">
        <v>2950</v>
      </c>
      <c r="AX16" s="22">
        <v>2950</v>
      </c>
      <c r="AY16" s="22">
        <v>2950</v>
      </c>
      <c r="AZ16" s="22">
        <v>2950</v>
      </c>
      <c r="BA16" s="22">
        <v>2950</v>
      </c>
      <c r="BB16" s="22">
        <v>2950</v>
      </c>
      <c r="BC16" s="22">
        <v>2950</v>
      </c>
      <c r="BD16" s="22">
        <v>2950</v>
      </c>
      <c r="BE16" s="23">
        <f>SUM(AS16:BD16)</f>
        <v>35400</v>
      </c>
      <c r="BF16" s="22">
        <v>3039</v>
      </c>
      <c r="BG16" s="22">
        <v>3039</v>
      </c>
      <c r="BH16" s="22">
        <v>3039</v>
      </c>
      <c r="BI16" s="22">
        <v>3039</v>
      </c>
      <c r="BJ16" s="22">
        <v>3039</v>
      </c>
      <c r="BK16" s="22">
        <v>3039</v>
      </c>
      <c r="BL16" s="22">
        <v>3039</v>
      </c>
      <c r="BM16" s="22">
        <v>3039</v>
      </c>
      <c r="BN16" s="22">
        <v>3039</v>
      </c>
      <c r="BO16" s="22">
        <v>3039</v>
      </c>
      <c r="BP16" s="22">
        <v>3039</v>
      </c>
      <c r="BQ16" s="22">
        <v>3039</v>
      </c>
      <c r="BR16" s="23">
        <f>SUM(BF16:BQ16)</f>
        <v>36468</v>
      </c>
      <c r="BS16" s="23">
        <f>SUM(E16,R16,AE16,AR16,BE16,BR16)</f>
        <v>180108</v>
      </c>
    </row>
    <row r="17" outlineLevel="2">
      <c r="A17" s="21" t="str">
        <v>Gastos De Movilización, Tag Y Peajes</v>
      </c>
      <c r="B17" s="22">
        <v>600</v>
      </c>
      <c r="C17" s="22">
        <v>600</v>
      </c>
      <c r="D17" s="22">
        <v>600</v>
      </c>
      <c r="E17" s="23">
        <f>SUM(B17:D17)</f>
        <v>1800</v>
      </c>
      <c r="F17" s="22">
        <v>600</v>
      </c>
      <c r="G17" s="22">
        <v>600</v>
      </c>
      <c r="H17" s="22">
        <v>600</v>
      </c>
      <c r="I17" s="22">
        <v>600</v>
      </c>
      <c r="J17" s="22">
        <v>600</v>
      </c>
      <c r="K17" s="22">
        <v>600</v>
      </c>
      <c r="L17" s="22">
        <v>600</v>
      </c>
      <c r="M17" s="22">
        <v>600</v>
      </c>
      <c r="N17" s="22">
        <v>600</v>
      </c>
      <c r="O17" s="22">
        <v>600</v>
      </c>
      <c r="P17" s="22">
        <v>600</v>
      </c>
      <c r="Q17" s="22">
        <v>600</v>
      </c>
      <c r="R17" s="23">
        <f>SUM(F17:Q17)</f>
        <v>7200</v>
      </c>
      <c r="S17" s="22">
        <v>618</v>
      </c>
      <c r="T17" s="22">
        <v>618</v>
      </c>
      <c r="U17" s="22">
        <v>618</v>
      </c>
      <c r="V17" s="22">
        <v>618</v>
      </c>
      <c r="W17" s="22">
        <v>618</v>
      </c>
      <c r="X17" s="22">
        <v>618</v>
      </c>
      <c r="Y17" s="22">
        <v>618</v>
      </c>
      <c r="Z17" s="22">
        <v>618</v>
      </c>
      <c r="AA17" s="22">
        <v>618</v>
      </c>
      <c r="AB17" s="22">
        <v>618</v>
      </c>
      <c r="AC17" s="22">
        <v>618</v>
      </c>
      <c r="AD17" s="22">
        <v>618</v>
      </c>
      <c r="AE17" s="23">
        <f>SUM(S17:AD17)</f>
        <v>7416</v>
      </c>
      <c r="AF17" s="22">
        <v>637</v>
      </c>
      <c r="AG17" s="22">
        <v>637</v>
      </c>
      <c r="AH17" s="22">
        <v>637</v>
      </c>
      <c r="AI17" s="22">
        <v>637</v>
      </c>
      <c r="AJ17" s="22">
        <v>637</v>
      </c>
      <c r="AK17" s="22">
        <v>637</v>
      </c>
      <c r="AL17" s="22">
        <v>637</v>
      </c>
      <c r="AM17" s="22">
        <v>637</v>
      </c>
      <c r="AN17" s="22">
        <v>637</v>
      </c>
      <c r="AO17" s="22">
        <v>637</v>
      </c>
      <c r="AP17" s="22">
        <v>637</v>
      </c>
      <c r="AQ17" s="22">
        <v>637</v>
      </c>
      <c r="AR17" s="23">
        <f>SUM(AF17:AQ17)</f>
        <v>7644</v>
      </c>
      <c r="AS17" s="22">
        <v>656</v>
      </c>
      <c r="AT17" s="22">
        <v>656</v>
      </c>
      <c r="AU17" s="22">
        <v>656</v>
      </c>
      <c r="AV17" s="22">
        <v>656</v>
      </c>
      <c r="AW17" s="22">
        <v>656</v>
      </c>
      <c r="AX17" s="22">
        <v>656</v>
      </c>
      <c r="AY17" s="22">
        <v>656</v>
      </c>
      <c r="AZ17" s="22">
        <v>656</v>
      </c>
      <c r="BA17" s="22">
        <v>656</v>
      </c>
      <c r="BB17" s="22">
        <v>656</v>
      </c>
      <c r="BC17" s="22">
        <v>656</v>
      </c>
      <c r="BD17" s="22">
        <v>656</v>
      </c>
      <c r="BE17" s="23">
        <f>SUM(AS17:BD17)</f>
        <v>7872</v>
      </c>
      <c r="BF17" s="22">
        <v>675</v>
      </c>
      <c r="BG17" s="22">
        <v>675</v>
      </c>
      <c r="BH17" s="22">
        <v>675</v>
      </c>
      <c r="BI17" s="22">
        <v>675</v>
      </c>
      <c r="BJ17" s="22">
        <v>675</v>
      </c>
      <c r="BK17" s="22">
        <v>675</v>
      </c>
      <c r="BL17" s="22">
        <v>675</v>
      </c>
      <c r="BM17" s="22">
        <v>675</v>
      </c>
      <c r="BN17" s="22">
        <v>675</v>
      </c>
      <c r="BO17" s="22">
        <v>675</v>
      </c>
      <c r="BP17" s="22">
        <v>675</v>
      </c>
      <c r="BQ17" s="22">
        <v>675</v>
      </c>
      <c r="BR17" s="23">
        <f>SUM(BF17:BQ17)</f>
        <v>8100</v>
      </c>
      <c r="BS17" s="23">
        <f>SUM(E17,R17,AE17,AR17,BE17,BR17)</f>
        <v>40032</v>
      </c>
    </row>
    <row r="18" outlineLevel="2">
      <c r="A18" s="21" t="str">
        <v>Combustibles</v>
      </c>
      <c r="B18" s="22">
        <v>1200</v>
      </c>
      <c r="C18" s="22">
        <v>1200</v>
      </c>
      <c r="D18" s="22">
        <v>1200</v>
      </c>
      <c r="E18" s="23">
        <f>SUM(B18:D18)</f>
        <v>3600</v>
      </c>
      <c r="F18" s="22">
        <v>1200</v>
      </c>
      <c r="G18" s="22">
        <v>1200</v>
      </c>
      <c r="H18" s="22">
        <v>1200</v>
      </c>
      <c r="I18" s="22">
        <v>1200</v>
      </c>
      <c r="J18" s="22">
        <v>1200</v>
      </c>
      <c r="K18" s="22">
        <v>1200</v>
      </c>
      <c r="L18" s="22">
        <v>1200</v>
      </c>
      <c r="M18" s="22">
        <v>1200</v>
      </c>
      <c r="N18" s="22">
        <v>1200</v>
      </c>
      <c r="O18" s="22">
        <v>1200</v>
      </c>
      <c r="P18" s="22">
        <v>1200</v>
      </c>
      <c r="Q18" s="22">
        <v>1200</v>
      </c>
      <c r="R18" s="23">
        <f>SUM(F18:Q18)</f>
        <v>14400</v>
      </c>
      <c r="S18" s="22">
        <v>1236</v>
      </c>
      <c r="T18" s="22">
        <v>1236</v>
      </c>
      <c r="U18" s="22">
        <v>1236</v>
      </c>
      <c r="V18" s="22">
        <v>1236</v>
      </c>
      <c r="W18" s="22">
        <v>1236</v>
      </c>
      <c r="X18" s="22">
        <v>1236</v>
      </c>
      <c r="Y18" s="22">
        <v>1236</v>
      </c>
      <c r="Z18" s="22">
        <v>1236</v>
      </c>
      <c r="AA18" s="22">
        <v>1236</v>
      </c>
      <c r="AB18" s="22">
        <v>1236</v>
      </c>
      <c r="AC18" s="22">
        <v>1236</v>
      </c>
      <c r="AD18" s="22">
        <v>1236</v>
      </c>
      <c r="AE18" s="23">
        <f>SUM(S18:AD18)</f>
        <v>14832</v>
      </c>
      <c r="AF18" s="22">
        <v>1273</v>
      </c>
      <c r="AG18" s="22">
        <v>1273</v>
      </c>
      <c r="AH18" s="22">
        <v>1273</v>
      </c>
      <c r="AI18" s="22">
        <v>1273</v>
      </c>
      <c r="AJ18" s="22">
        <v>1273</v>
      </c>
      <c r="AK18" s="22">
        <v>1273</v>
      </c>
      <c r="AL18" s="22">
        <v>1273</v>
      </c>
      <c r="AM18" s="22">
        <v>1273</v>
      </c>
      <c r="AN18" s="22">
        <v>1273</v>
      </c>
      <c r="AO18" s="22">
        <v>1273</v>
      </c>
      <c r="AP18" s="22">
        <v>1273</v>
      </c>
      <c r="AQ18" s="22">
        <v>1273</v>
      </c>
      <c r="AR18" s="23">
        <f>SUM(AF18:AQ18)</f>
        <v>15276</v>
      </c>
      <c r="AS18" s="22">
        <v>1311</v>
      </c>
      <c r="AT18" s="22">
        <v>1311</v>
      </c>
      <c r="AU18" s="22">
        <v>1311</v>
      </c>
      <c r="AV18" s="22">
        <v>1311</v>
      </c>
      <c r="AW18" s="22">
        <v>1311</v>
      </c>
      <c r="AX18" s="22">
        <v>1311</v>
      </c>
      <c r="AY18" s="22">
        <v>1311</v>
      </c>
      <c r="AZ18" s="22">
        <v>1311</v>
      </c>
      <c r="BA18" s="22">
        <v>1311</v>
      </c>
      <c r="BB18" s="22">
        <v>1311</v>
      </c>
      <c r="BC18" s="22">
        <v>1311</v>
      </c>
      <c r="BD18" s="22">
        <v>1311</v>
      </c>
      <c r="BE18" s="23">
        <f>SUM(AS18:BD18)</f>
        <v>15732</v>
      </c>
      <c r="BF18" s="22">
        <v>1351</v>
      </c>
      <c r="BG18" s="22">
        <v>1351</v>
      </c>
      <c r="BH18" s="22">
        <v>1351</v>
      </c>
      <c r="BI18" s="22">
        <v>1351</v>
      </c>
      <c r="BJ18" s="22">
        <v>1351</v>
      </c>
      <c r="BK18" s="22">
        <v>1351</v>
      </c>
      <c r="BL18" s="22">
        <v>1351</v>
      </c>
      <c r="BM18" s="22">
        <v>1351</v>
      </c>
      <c r="BN18" s="22">
        <v>1351</v>
      </c>
      <c r="BO18" s="22">
        <v>1351</v>
      </c>
      <c r="BP18" s="22">
        <v>1351</v>
      </c>
      <c r="BQ18" s="22">
        <v>1351</v>
      </c>
      <c r="BR18" s="23">
        <f>SUM(BF18:BQ18)</f>
        <v>16212</v>
      </c>
      <c r="BS18" s="23">
        <f>SUM(E18,R18,AE18,AR18,BE18,BR18)</f>
        <v>80052</v>
      </c>
    </row>
    <row r="19" outlineLevel="2">
      <c r="A19" s="21" t="str">
        <v>Patentes Municipales</v>
      </c>
      <c r="B19" s="22">
        <v>1000</v>
      </c>
      <c r="C19" s="22">
        <v>1000</v>
      </c>
      <c r="D19" s="22">
        <v>1000</v>
      </c>
      <c r="E19" s="23">
        <f>SUM(B19:D19)</f>
        <v>3000</v>
      </c>
      <c r="F19" s="22">
        <v>1000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1000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3">
        <f>SUM(F19:Q19)</f>
        <v>2000</v>
      </c>
      <c r="S19" s="22">
        <v>1030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1030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3">
        <f>SUM(S19:AD19)</f>
        <v>2060</v>
      </c>
      <c r="AF19" s="22">
        <v>1061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1061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3">
        <f>SUM(AF19:AQ19)</f>
        <v>2122</v>
      </c>
      <c r="AS19" s="22">
        <v>1093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1093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3">
        <f>SUM(AS19:BD19)</f>
        <v>2186</v>
      </c>
      <c r="BF19" s="22">
        <v>1126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1126</v>
      </c>
      <c r="BM19" s="22">
        <v>0</v>
      </c>
      <c r="BN19" s="22">
        <v>0</v>
      </c>
      <c r="BO19" s="22">
        <v>0</v>
      </c>
      <c r="BP19" s="22">
        <v>0</v>
      </c>
      <c r="BQ19" s="22">
        <v>0</v>
      </c>
      <c r="BR19" s="23">
        <f>SUM(BF19:BQ19)</f>
        <v>2252</v>
      </c>
      <c r="BS19" s="23">
        <f>SUM(E19,R19,AE19,AR19,BE19,BR19)</f>
        <v>13620</v>
      </c>
    </row>
    <row r="20" outlineLevel="2">
      <c r="A20" s="21" t="str">
        <v>Gastos De Alojamiento</v>
      </c>
      <c r="B20" s="22">
        <v>500</v>
      </c>
      <c r="C20" s="22">
        <v>500</v>
      </c>
      <c r="D20" s="22">
        <v>500</v>
      </c>
      <c r="E20" s="23">
        <f>SUM(B20:D20)</f>
        <v>1500</v>
      </c>
      <c r="F20" s="22">
        <v>500</v>
      </c>
      <c r="G20" s="22">
        <v>500</v>
      </c>
      <c r="H20" s="22">
        <v>500</v>
      </c>
      <c r="I20" s="22">
        <v>500</v>
      </c>
      <c r="J20" s="22">
        <v>500</v>
      </c>
      <c r="K20" s="22">
        <v>500</v>
      </c>
      <c r="L20" s="22">
        <v>500</v>
      </c>
      <c r="M20" s="22">
        <v>500</v>
      </c>
      <c r="N20" s="22">
        <v>500</v>
      </c>
      <c r="O20" s="22">
        <v>500</v>
      </c>
      <c r="P20" s="22">
        <v>500</v>
      </c>
      <c r="Q20" s="22">
        <v>500</v>
      </c>
      <c r="R20" s="23">
        <f>SUM(F20:Q20)</f>
        <v>6000</v>
      </c>
      <c r="S20" s="22">
        <v>515</v>
      </c>
      <c r="T20" s="22">
        <v>515</v>
      </c>
      <c r="U20" s="22">
        <v>515</v>
      </c>
      <c r="V20" s="22">
        <v>515</v>
      </c>
      <c r="W20" s="22">
        <v>515</v>
      </c>
      <c r="X20" s="22">
        <v>515</v>
      </c>
      <c r="Y20" s="22">
        <v>515</v>
      </c>
      <c r="Z20" s="22">
        <v>515</v>
      </c>
      <c r="AA20" s="22">
        <v>515</v>
      </c>
      <c r="AB20" s="22">
        <v>515</v>
      </c>
      <c r="AC20" s="22">
        <v>515</v>
      </c>
      <c r="AD20" s="22">
        <v>515</v>
      </c>
      <c r="AE20" s="23">
        <f>SUM(S20:AD20)</f>
        <v>6180</v>
      </c>
      <c r="AF20" s="22">
        <v>530</v>
      </c>
      <c r="AG20" s="22">
        <v>530</v>
      </c>
      <c r="AH20" s="22">
        <v>530</v>
      </c>
      <c r="AI20" s="22">
        <v>530</v>
      </c>
      <c r="AJ20" s="22">
        <v>530</v>
      </c>
      <c r="AK20" s="22">
        <v>530</v>
      </c>
      <c r="AL20" s="22">
        <v>530</v>
      </c>
      <c r="AM20" s="22">
        <v>530</v>
      </c>
      <c r="AN20" s="22">
        <v>530</v>
      </c>
      <c r="AO20" s="22">
        <v>530</v>
      </c>
      <c r="AP20" s="22">
        <v>530</v>
      </c>
      <c r="AQ20" s="22">
        <v>530</v>
      </c>
      <c r="AR20" s="23">
        <f>SUM(AF20:AQ20)</f>
        <v>6360</v>
      </c>
      <c r="AS20" s="22">
        <v>546</v>
      </c>
      <c r="AT20" s="22">
        <v>546</v>
      </c>
      <c r="AU20" s="22">
        <v>546</v>
      </c>
      <c r="AV20" s="22">
        <v>546</v>
      </c>
      <c r="AW20" s="22">
        <v>546</v>
      </c>
      <c r="AX20" s="22">
        <v>546</v>
      </c>
      <c r="AY20" s="22">
        <v>546</v>
      </c>
      <c r="AZ20" s="22">
        <v>546</v>
      </c>
      <c r="BA20" s="22">
        <v>546</v>
      </c>
      <c r="BB20" s="22">
        <v>546</v>
      </c>
      <c r="BC20" s="22">
        <v>546</v>
      </c>
      <c r="BD20" s="22">
        <v>546</v>
      </c>
      <c r="BE20" s="23">
        <f>SUM(AS20:BD20)</f>
        <v>6552</v>
      </c>
      <c r="BF20" s="22">
        <v>563</v>
      </c>
      <c r="BG20" s="22">
        <v>563</v>
      </c>
      <c r="BH20" s="22">
        <v>563</v>
      </c>
      <c r="BI20" s="22">
        <v>563</v>
      </c>
      <c r="BJ20" s="22">
        <v>563</v>
      </c>
      <c r="BK20" s="22">
        <v>563</v>
      </c>
      <c r="BL20" s="22">
        <v>563</v>
      </c>
      <c r="BM20" s="22">
        <v>563</v>
      </c>
      <c r="BN20" s="22">
        <v>563</v>
      </c>
      <c r="BO20" s="22">
        <v>563</v>
      </c>
      <c r="BP20" s="22">
        <v>563</v>
      </c>
      <c r="BQ20" s="22">
        <v>563</v>
      </c>
      <c r="BR20" s="23">
        <f>SUM(BF20:BQ20)</f>
        <v>6756</v>
      </c>
      <c r="BS20" s="23">
        <f>SUM(E20,R20,AE20,AR20,BE20,BR20)</f>
        <v>33348</v>
      </c>
    </row>
    <row r="21" outlineLevel="2">
      <c r="A21" s="21" t="str">
        <v>Gastos Representación Varios</v>
      </c>
      <c r="B21" s="22">
        <v>100</v>
      </c>
      <c r="C21" s="22">
        <v>100</v>
      </c>
      <c r="D21" s="22">
        <v>100</v>
      </c>
      <c r="E21" s="23">
        <f>SUM(B21:D21)</f>
        <v>300</v>
      </c>
      <c r="F21" s="22">
        <v>100</v>
      </c>
      <c r="G21" s="22">
        <v>100</v>
      </c>
      <c r="H21" s="22">
        <v>100</v>
      </c>
      <c r="I21" s="22">
        <v>100</v>
      </c>
      <c r="J21" s="22">
        <v>100</v>
      </c>
      <c r="K21" s="22">
        <v>100</v>
      </c>
      <c r="L21" s="22">
        <v>100</v>
      </c>
      <c r="M21" s="22">
        <v>100</v>
      </c>
      <c r="N21" s="22">
        <v>100</v>
      </c>
      <c r="O21" s="22">
        <v>100</v>
      </c>
      <c r="P21" s="22">
        <v>100</v>
      </c>
      <c r="Q21" s="22">
        <v>100</v>
      </c>
      <c r="R21" s="23">
        <f>SUM(F21:Q21)</f>
        <v>1200</v>
      </c>
      <c r="S21" s="22">
        <v>103</v>
      </c>
      <c r="T21" s="22">
        <v>103</v>
      </c>
      <c r="U21" s="22">
        <v>103</v>
      </c>
      <c r="V21" s="22">
        <v>103</v>
      </c>
      <c r="W21" s="22">
        <v>103</v>
      </c>
      <c r="X21" s="22">
        <v>103</v>
      </c>
      <c r="Y21" s="22">
        <v>103</v>
      </c>
      <c r="Z21" s="22">
        <v>103</v>
      </c>
      <c r="AA21" s="22">
        <v>103</v>
      </c>
      <c r="AB21" s="22">
        <v>103</v>
      </c>
      <c r="AC21" s="22">
        <v>103</v>
      </c>
      <c r="AD21" s="22">
        <v>103</v>
      </c>
      <c r="AE21" s="23">
        <f>SUM(S21:AD21)</f>
        <v>1236</v>
      </c>
      <c r="AF21" s="22">
        <v>106</v>
      </c>
      <c r="AG21" s="22">
        <v>106</v>
      </c>
      <c r="AH21" s="22">
        <v>106</v>
      </c>
      <c r="AI21" s="22">
        <v>106</v>
      </c>
      <c r="AJ21" s="22">
        <v>106</v>
      </c>
      <c r="AK21" s="22">
        <v>106</v>
      </c>
      <c r="AL21" s="22">
        <v>106</v>
      </c>
      <c r="AM21" s="22">
        <v>106</v>
      </c>
      <c r="AN21" s="22">
        <v>106</v>
      </c>
      <c r="AO21" s="22">
        <v>106</v>
      </c>
      <c r="AP21" s="22">
        <v>106</v>
      </c>
      <c r="AQ21" s="22">
        <v>106</v>
      </c>
      <c r="AR21" s="23">
        <f>SUM(AF21:AQ21)</f>
        <v>1272</v>
      </c>
      <c r="AS21" s="22">
        <v>109</v>
      </c>
      <c r="AT21" s="22">
        <v>109</v>
      </c>
      <c r="AU21" s="22">
        <v>109</v>
      </c>
      <c r="AV21" s="22">
        <v>109</v>
      </c>
      <c r="AW21" s="22">
        <v>109</v>
      </c>
      <c r="AX21" s="22">
        <v>109</v>
      </c>
      <c r="AY21" s="22">
        <v>109</v>
      </c>
      <c r="AZ21" s="22">
        <v>109</v>
      </c>
      <c r="BA21" s="22">
        <v>109</v>
      </c>
      <c r="BB21" s="22">
        <v>109</v>
      </c>
      <c r="BC21" s="22">
        <v>109</v>
      </c>
      <c r="BD21" s="22">
        <v>109</v>
      </c>
      <c r="BE21" s="23">
        <f>SUM(AS21:BD21)</f>
        <v>1308</v>
      </c>
      <c r="BF21" s="22">
        <v>113</v>
      </c>
      <c r="BG21" s="22">
        <v>113</v>
      </c>
      <c r="BH21" s="22">
        <v>113</v>
      </c>
      <c r="BI21" s="22">
        <v>113</v>
      </c>
      <c r="BJ21" s="22">
        <v>113</v>
      </c>
      <c r="BK21" s="22">
        <v>113</v>
      </c>
      <c r="BL21" s="22">
        <v>113</v>
      </c>
      <c r="BM21" s="22">
        <v>113</v>
      </c>
      <c r="BN21" s="22">
        <v>113</v>
      </c>
      <c r="BO21" s="22">
        <v>113</v>
      </c>
      <c r="BP21" s="22">
        <v>113</v>
      </c>
      <c r="BQ21" s="22">
        <v>113</v>
      </c>
      <c r="BR21" s="23">
        <f>SUM(BF21:BQ21)</f>
        <v>1356</v>
      </c>
      <c r="BS21" s="23">
        <f>SUM(E21,R21,AE21,AR21,BE21,BR21)</f>
        <v>6672</v>
      </c>
    </row>
    <row r="22" outlineLevel="2">
      <c r="A22" s="21" t="str">
        <v>Gastos De Representación Almuerzos</v>
      </c>
      <c r="B22" s="22">
        <v>300</v>
      </c>
      <c r="C22" s="22">
        <v>300</v>
      </c>
      <c r="D22" s="22">
        <v>300</v>
      </c>
      <c r="E22" s="23">
        <f>SUM(B22:D22)</f>
        <v>900</v>
      </c>
      <c r="F22" s="22">
        <v>300</v>
      </c>
      <c r="G22" s="22">
        <v>600</v>
      </c>
      <c r="H22" s="22">
        <v>300</v>
      </c>
      <c r="I22" s="22">
        <v>300</v>
      </c>
      <c r="J22" s="22">
        <v>600</v>
      </c>
      <c r="K22" s="22">
        <v>300</v>
      </c>
      <c r="L22" s="22">
        <v>600</v>
      </c>
      <c r="M22" s="22">
        <v>300</v>
      </c>
      <c r="N22" s="22">
        <v>300</v>
      </c>
      <c r="O22" s="22">
        <v>300</v>
      </c>
      <c r="P22" s="22">
        <v>300</v>
      </c>
      <c r="Q22" s="22">
        <v>300</v>
      </c>
      <c r="R22" s="23">
        <f>SUM(F22:Q22)</f>
        <v>4500</v>
      </c>
      <c r="S22" s="22">
        <v>309</v>
      </c>
      <c r="T22" s="22">
        <v>618</v>
      </c>
      <c r="U22" s="22">
        <v>309</v>
      </c>
      <c r="V22" s="22">
        <v>309</v>
      </c>
      <c r="W22" s="22">
        <v>618</v>
      </c>
      <c r="X22" s="22">
        <v>309</v>
      </c>
      <c r="Y22" s="22">
        <v>618</v>
      </c>
      <c r="Z22" s="22">
        <v>309</v>
      </c>
      <c r="AA22" s="22">
        <v>309</v>
      </c>
      <c r="AB22" s="22">
        <v>309</v>
      </c>
      <c r="AC22" s="22">
        <v>309</v>
      </c>
      <c r="AD22" s="22">
        <v>309</v>
      </c>
      <c r="AE22" s="23">
        <f>SUM(S22:AD22)</f>
        <v>4635</v>
      </c>
      <c r="AF22" s="22">
        <v>318</v>
      </c>
      <c r="AG22" s="22">
        <v>637</v>
      </c>
      <c r="AH22" s="22">
        <v>318</v>
      </c>
      <c r="AI22" s="22">
        <v>318</v>
      </c>
      <c r="AJ22" s="22">
        <v>637</v>
      </c>
      <c r="AK22" s="22">
        <v>318</v>
      </c>
      <c r="AL22" s="22">
        <v>637</v>
      </c>
      <c r="AM22" s="22">
        <v>318</v>
      </c>
      <c r="AN22" s="22">
        <v>318</v>
      </c>
      <c r="AO22" s="22">
        <v>318</v>
      </c>
      <c r="AP22" s="22">
        <v>318</v>
      </c>
      <c r="AQ22" s="22">
        <v>318</v>
      </c>
      <c r="AR22" s="23">
        <f>SUM(AF22:AQ22)</f>
        <v>4773</v>
      </c>
      <c r="AS22" s="22">
        <v>328</v>
      </c>
      <c r="AT22" s="22">
        <v>656</v>
      </c>
      <c r="AU22" s="22">
        <v>328</v>
      </c>
      <c r="AV22" s="22">
        <v>328</v>
      </c>
      <c r="AW22" s="22">
        <v>656</v>
      </c>
      <c r="AX22" s="22">
        <v>328</v>
      </c>
      <c r="AY22" s="22">
        <v>656</v>
      </c>
      <c r="AZ22" s="22">
        <v>328</v>
      </c>
      <c r="BA22" s="22">
        <v>328</v>
      </c>
      <c r="BB22" s="22">
        <v>328</v>
      </c>
      <c r="BC22" s="22">
        <v>328</v>
      </c>
      <c r="BD22" s="22">
        <v>328</v>
      </c>
      <c r="BE22" s="23">
        <f>SUM(AS22:BD22)</f>
        <v>4920</v>
      </c>
      <c r="BF22" s="22">
        <v>338</v>
      </c>
      <c r="BG22" s="22">
        <v>675</v>
      </c>
      <c r="BH22" s="22">
        <v>338</v>
      </c>
      <c r="BI22" s="22">
        <v>338</v>
      </c>
      <c r="BJ22" s="22">
        <v>675</v>
      </c>
      <c r="BK22" s="22">
        <v>338</v>
      </c>
      <c r="BL22" s="22">
        <v>675</v>
      </c>
      <c r="BM22" s="22">
        <v>338</v>
      </c>
      <c r="BN22" s="22">
        <v>338</v>
      </c>
      <c r="BO22" s="22">
        <v>338</v>
      </c>
      <c r="BP22" s="22">
        <v>338</v>
      </c>
      <c r="BQ22" s="22">
        <v>338</v>
      </c>
      <c r="BR22" s="23">
        <f>SUM(BF22:BQ22)</f>
        <v>5067</v>
      </c>
      <c r="BS22" s="23">
        <f>SUM(E22,R22,AE22,AR22,BE22,BR22)</f>
        <v>24795</v>
      </c>
    </row>
    <row r="23" outlineLevel="2">
      <c r="A23" s="21" t="str">
        <v>Gastos De Pasajes Viajes Internacionales</v>
      </c>
      <c r="B23" s="22">
        <v>0</v>
      </c>
      <c r="C23" s="22">
        <v>0</v>
      </c>
      <c r="D23" s="22">
        <v>0</v>
      </c>
      <c r="E23" s="23">
        <f>SUM(B23:D23)</f>
        <v>0</v>
      </c>
      <c r="F23" s="22">
        <v>2500</v>
      </c>
      <c r="G23" s="22">
        <v>2500</v>
      </c>
      <c r="H23" s="22">
        <v>2500</v>
      </c>
      <c r="I23" s="22">
        <v>2500</v>
      </c>
      <c r="J23" s="22">
        <v>2500</v>
      </c>
      <c r="K23" s="22">
        <v>12500</v>
      </c>
      <c r="L23" s="22">
        <v>2500</v>
      </c>
      <c r="M23" s="22">
        <v>2500</v>
      </c>
      <c r="N23" s="22">
        <v>2500</v>
      </c>
      <c r="O23" s="22">
        <v>2500</v>
      </c>
      <c r="P23" s="22">
        <v>2500</v>
      </c>
      <c r="Q23" s="22">
        <v>2500</v>
      </c>
      <c r="R23" s="23">
        <f>SUM(F23:Q23)</f>
        <v>40000</v>
      </c>
      <c r="S23" s="22">
        <v>2575</v>
      </c>
      <c r="T23" s="22">
        <v>2575</v>
      </c>
      <c r="U23" s="22">
        <v>2575</v>
      </c>
      <c r="V23" s="22">
        <v>2575</v>
      </c>
      <c r="W23" s="22">
        <v>2575</v>
      </c>
      <c r="X23" s="22">
        <v>12875</v>
      </c>
      <c r="Y23" s="22">
        <v>2575</v>
      </c>
      <c r="Z23" s="22">
        <v>2575</v>
      </c>
      <c r="AA23" s="22">
        <v>2575</v>
      </c>
      <c r="AB23" s="22">
        <v>2575</v>
      </c>
      <c r="AC23" s="22">
        <v>2575</v>
      </c>
      <c r="AD23" s="22">
        <v>2575</v>
      </c>
      <c r="AE23" s="23">
        <f>SUM(S23:AD23)</f>
        <v>41200</v>
      </c>
      <c r="AF23" s="22">
        <v>2652</v>
      </c>
      <c r="AG23" s="22">
        <v>2652</v>
      </c>
      <c r="AH23" s="22">
        <v>2652</v>
      </c>
      <c r="AI23" s="22">
        <v>2652</v>
      </c>
      <c r="AJ23" s="22">
        <v>2652</v>
      </c>
      <c r="AK23" s="22">
        <v>13261</v>
      </c>
      <c r="AL23" s="22">
        <v>2652</v>
      </c>
      <c r="AM23" s="22">
        <v>2652</v>
      </c>
      <c r="AN23" s="22">
        <v>2652</v>
      </c>
      <c r="AO23" s="22">
        <v>2652</v>
      </c>
      <c r="AP23" s="22">
        <v>2652</v>
      </c>
      <c r="AQ23" s="22">
        <v>2652</v>
      </c>
      <c r="AR23" s="23">
        <f>SUM(AF23:AQ23)</f>
        <v>42433</v>
      </c>
      <c r="AS23" s="22">
        <v>2732</v>
      </c>
      <c r="AT23" s="22">
        <v>2732</v>
      </c>
      <c r="AU23" s="22">
        <v>2732</v>
      </c>
      <c r="AV23" s="22">
        <v>2732</v>
      </c>
      <c r="AW23" s="22">
        <v>2732</v>
      </c>
      <c r="AX23" s="22">
        <v>13659</v>
      </c>
      <c r="AY23" s="22">
        <v>2732</v>
      </c>
      <c r="AZ23" s="22">
        <v>2732</v>
      </c>
      <c r="BA23" s="22">
        <v>2732</v>
      </c>
      <c r="BB23" s="22">
        <v>2732</v>
      </c>
      <c r="BC23" s="22">
        <v>2732</v>
      </c>
      <c r="BD23" s="22">
        <v>2732</v>
      </c>
      <c r="BE23" s="23">
        <f>SUM(AS23:BD23)</f>
        <v>43711</v>
      </c>
      <c r="BF23" s="22">
        <v>2814</v>
      </c>
      <c r="BG23" s="22">
        <v>2814</v>
      </c>
      <c r="BH23" s="22">
        <v>2814</v>
      </c>
      <c r="BI23" s="22">
        <v>2814</v>
      </c>
      <c r="BJ23" s="22">
        <v>2814</v>
      </c>
      <c r="BK23" s="22">
        <v>14069</v>
      </c>
      <c r="BL23" s="22">
        <v>2814</v>
      </c>
      <c r="BM23" s="22">
        <v>2814</v>
      </c>
      <c r="BN23" s="22">
        <v>2814</v>
      </c>
      <c r="BO23" s="22">
        <v>2814</v>
      </c>
      <c r="BP23" s="22">
        <v>2814</v>
      </c>
      <c r="BQ23" s="22">
        <v>2814</v>
      </c>
      <c r="BR23" s="23">
        <f>SUM(BF23:BQ23)</f>
        <v>45023</v>
      </c>
      <c r="BS23" s="23">
        <f>SUM(E23,R23,AE23,AR23,BE23,BR23)</f>
        <v>212367</v>
      </c>
    </row>
    <row r="24" outlineLevel="2">
      <c r="A24" s="21" t="str">
        <v>Gastos Varios</v>
      </c>
      <c r="B24" s="22">
        <v>0</v>
      </c>
      <c r="C24" s="22">
        <v>0</v>
      </c>
      <c r="D24" s="22">
        <v>0</v>
      </c>
      <c r="E24" s="23">
        <f>SUM(B24:D24)</f>
        <v>0</v>
      </c>
      <c r="F24" s="22">
        <v>500</v>
      </c>
      <c r="G24" s="22">
        <v>500</v>
      </c>
      <c r="H24" s="22">
        <v>500</v>
      </c>
      <c r="I24" s="22">
        <v>500</v>
      </c>
      <c r="J24" s="22">
        <v>500</v>
      </c>
      <c r="K24" s="22">
        <v>500</v>
      </c>
      <c r="L24" s="22">
        <v>500</v>
      </c>
      <c r="M24" s="22">
        <v>500</v>
      </c>
      <c r="N24" s="22">
        <v>500</v>
      </c>
      <c r="O24" s="22">
        <v>500</v>
      </c>
      <c r="P24" s="22">
        <v>500</v>
      </c>
      <c r="Q24" s="22">
        <v>500</v>
      </c>
      <c r="R24" s="23">
        <f>SUM(F24:Q24)</f>
        <v>6000</v>
      </c>
      <c r="S24" s="22">
        <v>515</v>
      </c>
      <c r="T24" s="22">
        <v>515</v>
      </c>
      <c r="U24" s="22">
        <v>515</v>
      </c>
      <c r="V24" s="22">
        <v>515</v>
      </c>
      <c r="W24" s="22">
        <v>515</v>
      </c>
      <c r="X24" s="22">
        <v>515</v>
      </c>
      <c r="Y24" s="22">
        <v>515</v>
      </c>
      <c r="Z24" s="22">
        <v>515</v>
      </c>
      <c r="AA24" s="22">
        <v>515</v>
      </c>
      <c r="AB24" s="22">
        <v>515</v>
      </c>
      <c r="AC24" s="22">
        <v>515</v>
      </c>
      <c r="AD24" s="22">
        <v>515</v>
      </c>
      <c r="AE24" s="23">
        <f>SUM(S24:AD24)</f>
        <v>6180</v>
      </c>
      <c r="AF24" s="22">
        <v>530</v>
      </c>
      <c r="AG24" s="22">
        <v>530</v>
      </c>
      <c r="AH24" s="22">
        <v>530</v>
      </c>
      <c r="AI24" s="22">
        <v>530</v>
      </c>
      <c r="AJ24" s="22">
        <v>530</v>
      </c>
      <c r="AK24" s="22">
        <v>530</v>
      </c>
      <c r="AL24" s="22">
        <v>530</v>
      </c>
      <c r="AM24" s="22">
        <v>530</v>
      </c>
      <c r="AN24" s="22">
        <v>530</v>
      </c>
      <c r="AO24" s="22">
        <v>530</v>
      </c>
      <c r="AP24" s="22">
        <v>530</v>
      </c>
      <c r="AQ24" s="22">
        <v>530</v>
      </c>
      <c r="AR24" s="23">
        <f>SUM(AF24:AQ24)</f>
        <v>6360</v>
      </c>
      <c r="AS24" s="22">
        <v>546</v>
      </c>
      <c r="AT24" s="22">
        <v>546</v>
      </c>
      <c r="AU24" s="22">
        <v>546</v>
      </c>
      <c r="AV24" s="22">
        <v>546</v>
      </c>
      <c r="AW24" s="22">
        <v>546</v>
      </c>
      <c r="AX24" s="22">
        <v>546</v>
      </c>
      <c r="AY24" s="22">
        <v>546</v>
      </c>
      <c r="AZ24" s="22">
        <v>546</v>
      </c>
      <c r="BA24" s="22">
        <v>546</v>
      </c>
      <c r="BB24" s="22">
        <v>546</v>
      </c>
      <c r="BC24" s="22">
        <v>546</v>
      </c>
      <c r="BD24" s="22">
        <v>546</v>
      </c>
      <c r="BE24" s="23">
        <f>SUM(AS24:BD24)</f>
        <v>6552</v>
      </c>
      <c r="BF24" s="22">
        <v>563</v>
      </c>
      <c r="BG24" s="22">
        <v>563</v>
      </c>
      <c r="BH24" s="22">
        <v>563</v>
      </c>
      <c r="BI24" s="22">
        <v>563</v>
      </c>
      <c r="BJ24" s="22">
        <v>563</v>
      </c>
      <c r="BK24" s="22">
        <v>563</v>
      </c>
      <c r="BL24" s="22">
        <v>563</v>
      </c>
      <c r="BM24" s="22">
        <v>563</v>
      </c>
      <c r="BN24" s="22">
        <v>563</v>
      </c>
      <c r="BO24" s="22">
        <v>563</v>
      </c>
      <c r="BP24" s="22">
        <v>563</v>
      </c>
      <c r="BQ24" s="22">
        <v>563</v>
      </c>
      <c r="BR24" s="23">
        <f>SUM(BF24:BQ24)</f>
        <v>6756</v>
      </c>
      <c r="BS24" s="23">
        <f>SUM(E24,R24,AE24,AR24,BE24,BR24)</f>
        <v>31848</v>
      </c>
    </row>
    <row r="25" outlineLevel="2">
      <c r="A25" s="21" t="str">
        <v>Asesorías Computacionales</v>
      </c>
      <c r="B25" s="22">
        <v>0</v>
      </c>
      <c r="C25" s="22">
        <v>0</v>
      </c>
      <c r="D25" s="22">
        <v>0</v>
      </c>
      <c r="E25" s="23">
        <f>SUM(B25:D25)</f>
        <v>0</v>
      </c>
      <c r="F25" s="22">
        <v>1100</v>
      </c>
      <c r="G25" s="22">
        <v>1100</v>
      </c>
      <c r="H25" s="22">
        <v>1100</v>
      </c>
      <c r="I25" s="22">
        <v>1100</v>
      </c>
      <c r="J25" s="22">
        <v>1100</v>
      </c>
      <c r="K25" s="22">
        <v>1100</v>
      </c>
      <c r="L25" s="22">
        <v>1100</v>
      </c>
      <c r="M25" s="22">
        <v>1100</v>
      </c>
      <c r="N25" s="22">
        <v>1100</v>
      </c>
      <c r="O25" s="22">
        <v>1100</v>
      </c>
      <c r="P25" s="22">
        <v>1100</v>
      </c>
      <c r="Q25" s="22">
        <v>1100</v>
      </c>
      <c r="R25" s="23">
        <f>SUM(F25:Q25)</f>
        <v>13200</v>
      </c>
      <c r="S25" s="22">
        <v>1133</v>
      </c>
      <c r="T25" s="22">
        <v>1133</v>
      </c>
      <c r="U25" s="22">
        <v>1133</v>
      </c>
      <c r="V25" s="22">
        <v>1133</v>
      </c>
      <c r="W25" s="22">
        <v>1133</v>
      </c>
      <c r="X25" s="22">
        <v>1133</v>
      </c>
      <c r="Y25" s="22">
        <v>1133</v>
      </c>
      <c r="Z25" s="22">
        <v>1133</v>
      </c>
      <c r="AA25" s="22">
        <v>1133</v>
      </c>
      <c r="AB25" s="22">
        <v>1133</v>
      </c>
      <c r="AC25" s="22">
        <v>1133</v>
      </c>
      <c r="AD25" s="22">
        <v>1133</v>
      </c>
      <c r="AE25" s="23">
        <f>SUM(S25:AD25)</f>
        <v>13596</v>
      </c>
      <c r="AF25" s="22">
        <v>1167</v>
      </c>
      <c r="AG25" s="22">
        <v>1167</v>
      </c>
      <c r="AH25" s="22">
        <v>1167</v>
      </c>
      <c r="AI25" s="22">
        <v>1167</v>
      </c>
      <c r="AJ25" s="22">
        <v>1167</v>
      </c>
      <c r="AK25" s="22">
        <v>1167</v>
      </c>
      <c r="AL25" s="22">
        <v>1167</v>
      </c>
      <c r="AM25" s="22">
        <v>1167</v>
      </c>
      <c r="AN25" s="22">
        <v>1167</v>
      </c>
      <c r="AO25" s="22">
        <v>1167</v>
      </c>
      <c r="AP25" s="22">
        <v>1167</v>
      </c>
      <c r="AQ25" s="22">
        <v>1167</v>
      </c>
      <c r="AR25" s="23">
        <f>SUM(AF25:AQ25)</f>
        <v>14004</v>
      </c>
      <c r="AS25" s="22">
        <v>1202</v>
      </c>
      <c r="AT25" s="22">
        <v>1202</v>
      </c>
      <c r="AU25" s="22">
        <v>1202</v>
      </c>
      <c r="AV25" s="22">
        <v>1202</v>
      </c>
      <c r="AW25" s="22">
        <v>1202</v>
      </c>
      <c r="AX25" s="22">
        <v>1202</v>
      </c>
      <c r="AY25" s="22">
        <v>1202</v>
      </c>
      <c r="AZ25" s="22">
        <v>1202</v>
      </c>
      <c r="BA25" s="22">
        <v>1202</v>
      </c>
      <c r="BB25" s="22">
        <v>1202</v>
      </c>
      <c r="BC25" s="22">
        <v>1202</v>
      </c>
      <c r="BD25" s="22">
        <v>1202</v>
      </c>
      <c r="BE25" s="23">
        <f>SUM(AS25:BD25)</f>
        <v>14424</v>
      </c>
      <c r="BF25" s="22">
        <v>1238</v>
      </c>
      <c r="BG25" s="22">
        <v>1238</v>
      </c>
      <c r="BH25" s="22">
        <v>1238</v>
      </c>
      <c r="BI25" s="22">
        <v>1238</v>
      </c>
      <c r="BJ25" s="22">
        <v>1238</v>
      </c>
      <c r="BK25" s="22">
        <v>1238</v>
      </c>
      <c r="BL25" s="22">
        <v>1238</v>
      </c>
      <c r="BM25" s="22">
        <v>1238</v>
      </c>
      <c r="BN25" s="22">
        <v>1238</v>
      </c>
      <c r="BO25" s="22">
        <v>1238</v>
      </c>
      <c r="BP25" s="22">
        <v>1238</v>
      </c>
      <c r="BQ25" s="22">
        <v>1238</v>
      </c>
      <c r="BR25" s="23">
        <f>SUM(BF25:BQ25)</f>
        <v>14856</v>
      </c>
      <c r="BS25" s="23">
        <f>SUM(E25,R25,AE25,AR25,BE25,BR25)</f>
        <v>70080</v>
      </c>
    </row>
    <row r="26" outlineLevel="2">
      <c r="A26" s="21" t="str">
        <v>Asesorías Jurídico Legales</v>
      </c>
      <c r="B26" s="22">
        <v>0</v>
      </c>
      <c r="C26" s="22">
        <v>0</v>
      </c>
      <c r="D26" s="22">
        <v>0</v>
      </c>
      <c r="E26" s="23">
        <f>SUM(B26:D26)</f>
        <v>0</v>
      </c>
      <c r="F26" s="22">
        <v>2000</v>
      </c>
      <c r="G26" s="22">
        <v>2000</v>
      </c>
      <c r="H26" s="22">
        <v>2000</v>
      </c>
      <c r="I26" s="22">
        <v>2000</v>
      </c>
      <c r="J26" s="22">
        <v>2000</v>
      </c>
      <c r="K26" s="22">
        <v>2000</v>
      </c>
      <c r="L26" s="22">
        <v>2000</v>
      </c>
      <c r="M26" s="22">
        <v>2000</v>
      </c>
      <c r="N26" s="22">
        <v>2000</v>
      </c>
      <c r="O26" s="22">
        <v>2000</v>
      </c>
      <c r="P26" s="22">
        <v>2000</v>
      </c>
      <c r="Q26" s="22">
        <v>2000</v>
      </c>
      <c r="R26" s="23">
        <f>SUM(F26:Q26)</f>
        <v>24000</v>
      </c>
      <c r="S26" s="22">
        <v>2060</v>
      </c>
      <c r="T26" s="22">
        <v>2060</v>
      </c>
      <c r="U26" s="22">
        <v>2060</v>
      </c>
      <c r="V26" s="22">
        <v>2060</v>
      </c>
      <c r="W26" s="22">
        <v>2060</v>
      </c>
      <c r="X26" s="22">
        <v>2060</v>
      </c>
      <c r="Y26" s="22">
        <v>2060</v>
      </c>
      <c r="Z26" s="22">
        <v>2060</v>
      </c>
      <c r="AA26" s="22">
        <v>2060</v>
      </c>
      <c r="AB26" s="22">
        <v>2060</v>
      </c>
      <c r="AC26" s="22">
        <v>2060</v>
      </c>
      <c r="AD26" s="22">
        <v>2060</v>
      </c>
      <c r="AE26" s="23">
        <f>SUM(S26:AD26)</f>
        <v>24720</v>
      </c>
      <c r="AF26" s="22">
        <v>2122</v>
      </c>
      <c r="AG26" s="22">
        <v>2122</v>
      </c>
      <c r="AH26" s="22">
        <v>2122</v>
      </c>
      <c r="AI26" s="22">
        <v>2122</v>
      </c>
      <c r="AJ26" s="22">
        <v>2122</v>
      </c>
      <c r="AK26" s="22">
        <v>2122</v>
      </c>
      <c r="AL26" s="22">
        <v>2122</v>
      </c>
      <c r="AM26" s="22">
        <v>2122</v>
      </c>
      <c r="AN26" s="22">
        <v>2122</v>
      </c>
      <c r="AO26" s="22">
        <v>2122</v>
      </c>
      <c r="AP26" s="22">
        <v>2122</v>
      </c>
      <c r="AQ26" s="22">
        <v>2122</v>
      </c>
      <c r="AR26" s="23">
        <f>SUM(AF26:AQ26)</f>
        <v>25464</v>
      </c>
      <c r="AS26" s="22">
        <v>2185</v>
      </c>
      <c r="AT26" s="22">
        <v>2185</v>
      </c>
      <c r="AU26" s="22">
        <v>2185</v>
      </c>
      <c r="AV26" s="22">
        <v>2185</v>
      </c>
      <c r="AW26" s="22">
        <v>2185</v>
      </c>
      <c r="AX26" s="22">
        <v>2185</v>
      </c>
      <c r="AY26" s="22">
        <v>2185</v>
      </c>
      <c r="AZ26" s="22">
        <v>2185</v>
      </c>
      <c r="BA26" s="22">
        <v>2185</v>
      </c>
      <c r="BB26" s="22">
        <v>2185</v>
      </c>
      <c r="BC26" s="22">
        <v>2185</v>
      </c>
      <c r="BD26" s="22">
        <v>2185</v>
      </c>
      <c r="BE26" s="23">
        <f>SUM(AS26:BD26)</f>
        <v>26220</v>
      </c>
      <c r="BF26" s="22">
        <v>2251</v>
      </c>
      <c r="BG26" s="22">
        <v>2251</v>
      </c>
      <c r="BH26" s="22">
        <v>2251</v>
      </c>
      <c r="BI26" s="22">
        <v>2251</v>
      </c>
      <c r="BJ26" s="22">
        <v>2251</v>
      </c>
      <c r="BK26" s="22">
        <v>2251</v>
      </c>
      <c r="BL26" s="22">
        <v>2251</v>
      </c>
      <c r="BM26" s="22">
        <v>2251</v>
      </c>
      <c r="BN26" s="22">
        <v>2251</v>
      </c>
      <c r="BO26" s="22">
        <v>2251</v>
      </c>
      <c r="BP26" s="22">
        <v>2251</v>
      </c>
      <c r="BQ26" s="22">
        <v>2251</v>
      </c>
      <c r="BR26" s="23">
        <f>SUM(BF26:BQ26)</f>
        <v>27012</v>
      </c>
      <c r="BS26" s="23">
        <f>SUM(E26,R26,AE26,AR26,BE26,BR26)</f>
        <v>127416</v>
      </c>
    </row>
    <row r="27" outlineLevel="1">
      <c r="A27" s="18" t="str">
        <v>· Costos Fijos / SG&amp;A</v>
      </c>
      <c r="B27" s="20">
        <f>SUM(B8:B26)</f>
        <v>27786</v>
      </c>
      <c r="C27" s="20">
        <f>SUM(C8:C26)</f>
        <v>27786</v>
      </c>
      <c r="D27" s="20">
        <f>SUM(D8:D26)</f>
        <v>27786</v>
      </c>
      <c r="E27" s="20">
        <f>SUM(B27:D27)</f>
        <v>83358</v>
      </c>
      <c r="F27" s="20">
        <f>SUM(F8:F26)</f>
        <v>33886</v>
      </c>
      <c r="G27" s="20">
        <f>SUM(G8:G26)</f>
        <v>28852</v>
      </c>
      <c r="H27" s="20">
        <f>SUM(H8:H26)</f>
        <v>28552</v>
      </c>
      <c r="I27" s="20">
        <f>SUM(I8:I26)</f>
        <v>30868</v>
      </c>
      <c r="J27" s="20">
        <f>SUM(J8:J26)</f>
        <v>30730</v>
      </c>
      <c r="K27" s="20">
        <f>SUM(K8:K26)</f>
        <v>40430</v>
      </c>
      <c r="L27" s="20">
        <f>SUM(L8:L26)</f>
        <v>30189</v>
      </c>
      <c r="M27" s="20">
        <f>SUM(M8:M26)</f>
        <v>28264</v>
      </c>
      <c r="N27" s="20">
        <f>SUM(N8:N26)</f>
        <v>26386</v>
      </c>
      <c r="O27" s="20">
        <f>SUM(O8:O26)</f>
        <v>26386</v>
      </c>
      <c r="P27" s="20">
        <f>SUM(P8:P26)</f>
        <v>28552</v>
      </c>
      <c r="Q27" s="20">
        <f>SUM(Q8:Q26)</f>
        <v>47873</v>
      </c>
      <c r="R27" s="20">
        <f>SUM(F27:Q27)</f>
        <v>380968</v>
      </c>
      <c r="S27" s="20">
        <f>SUM(S8:S26)</f>
        <v>34903</v>
      </c>
      <c r="T27" s="20">
        <f>SUM(T8:T26)</f>
        <v>29718</v>
      </c>
      <c r="U27" s="20">
        <f>SUM(U8:U26)</f>
        <v>29409</v>
      </c>
      <c r="V27" s="20">
        <f>SUM(V8:V26)</f>
        <v>31795</v>
      </c>
      <c r="W27" s="20">
        <f>SUM(W8:W26)</f>
        <v>31653</v>
      </c>
      <c r="X27" s="20">
        <f>SUM(X8:X26)</f>
        <v>41644</v>
      </c>
      <c r="Y27" s="20">
        <f>SUM(Y8:Y26)</f>
        <v>31096</v>
      </c>
      <c r="Z27" s="20">
        <f>SUM(Z8:Z26)</f>
        <v>29113</v>
      </c>
      <c r="AA27" s="20">
        <f>SUM(AA8:AA26)</f>
        <v>27178</v>
      </c>
      <c r="AB27" s="20">
        <f>SUM(AB8:AB26)</f>
        <v>27178</v>
      </c>
      <c r="AC27" s="20">
        <f>SUM(AC8:AC26)</f>
        <v>29409</v>
      </c>
      <c r="AD27" s="20">
        <f>SUM(AD8:AD26)</f>
        <v>49310</v>
      </c>
      <c r="AE27" s="20">
        <f>SUM(S27:AD27)</f>
        <v>392406</v>
      </c>
      <c r="AF27" s="20">
        <f>SUM(AF8:AF26)</f>
        <v>35949</v>
      </c>
      <c r="AG27" s="20">
        <f>SUM(AG8:AG26)</f>
        <v>30609</v>
      </c>
      <c r="AH27" s="20">
        <f>SUM(AH8:AH26)</f>
        <v>30290</v>
      </c>
      <c r="AI27" s="20">
        <f>SUM(AI8:AI26)</f>
        <v>32747</v>
      </c>
      <c r="AJ27" s="20">
        <f>SUM(AJ8:AJ26)</f>
        <v>32601</v>
      </c>
      <c r="AK27" s="20">
        <f>SUM(AK8:AK26)</f>
        <v>42891</v>
      </c>
      <c r="AL27" s="20">
        <f>SUM(AL8:AL26)</f>
        <v>32027</v>
      </c>
      <c r="AM27" s="20">
        <f>SUM(AM8:AM26)</f>
        <v>29984</v>
      </c>
      <c r="AN27" s="20">
        <f>SUM(AN8:AN26)</f>
        <v>27992</v>
      </c>
      <c r="AO27" s="20">
        <f>SUM(AO8:AO26)</f>
        <v>27992</v>
      </c>
      <c r="AP27" s="20">
        <f>SUM(AP8:AP26)</f>
        <v>30290</v>
      </c>
      <c r="AQ27" s="20">
        <f>SUM(AQ8:AQ26)</f>
        <v>50787</v>
      </c>
      <c r="AR27" s="20">
        <f>SUM(AF27:AQ27)</f>
        <v>404159</v>
      </c>
      <c r="AS27" s="20">
        <f>SUM(AS8:AS26)</f>
        <v>37028</v>
      </c>
      <c r="AT27" s="20">
        <f>SUM(AT8:AT26)</f>
        <v>31527</v>
      </c>
      <c r="AU27" s="20">
        <f>SUM(AU8:AU26)</f>
        <v>31199</v>
      </c>
      <c r="AV27" s="20">
        <f>SUM(AV8:AV26)</f>
        <v>33730</v>
      </c>
      <c r="AW27" s="20">
        <f>SUM(AW8:AW26)</f>
        <v>33579</v>
      </c>
      <c r="AX27" s="20">
        <f>SUM(AX8:AX26)</f>
        <v>44178</v>
      </c>
      <c r="AY27" s="20">
        <f>SUM(AY8:AY26)</f>
        <v>32988</v>
      </c>
      <c r="AZ27" s="20">
        <f>SUM(AZ8:AZ26)</f>
        <v>30884</v>
      </c>
      <c r="BA27" s="20">
        <f>SUM(BA8:BA26)</f>
        <v>28832</v>
      </c>
      <c r="BB27" s="20">
        <f>SUM(BB8:BB26)</f>
        <v>28832</v>
      </c>
      <c r="BC27" s="20">
        <f>SUM(BC8:BC26)</f>
        <v>31199</v>
      </c>
      <c r="BD27" s="20">
        <f>SUM(BD8:BD26)</f>
        <v>52311</v>
      </c>
      <c r="BE27" s="20">
        <f>SUM(AS27:BD27)</f>
        <v>416287</v>
      </c>
      <c r="BF27" s="20">
        <f>SUM(BF8:BF26)</f>
        <v>38141</v>
      </c>
      <c r="BG27" s="20">
        <f>SUM(BG8:BG26)</f>
        <v>32474</v>
      </c>
      <c r="BH27" s="20">
        <f>SUM(BH8:BH26)</f>
        <v>32137</v>
      </c>
      <c r="BI27" s="20">
        <f>SUM(BI8:BI26)</f>
        <v>34744</v>
      </c>
      <c r="BJ27" s="20">
        <f>SUM(BJ8:BJ26)</f>
        <v>34588</v>
      </c>
      <c r="BK27" s="20">
        <f>SUM(BK8:BK26)</f>
        <v>45506</v>
      </c>
      <c r="BL27" s="20">
        <f>SUM(BL8:BL26)</f>
        <v>33979</v>
      </c>
      <c r="BM27" s="20">
        <f>SUM(BM8:BM26)</f>
        <v>31813</v>
      </c>
      <c r="BN27" s="20">
        <f>SUM(BN8:BN26)</f>
        <v>29700</v>
      </c>
      <c r="BO27" s="20">
        <f>SUM(BO8:BO26)</f>
        <v>29700</v>
      </c>
      <c r="BP27" s="20">
        <f>SUM(BP8:BP26)</f>
        <v>32137</v>
      </c>
      <c r="BQ27" s="20">
        <f>SUM(BQ8:BQ26)</f>
        <v>53883</v>
      </c>
      <c r="BR27" s="20">
        <f>SUM(BF27:BQ27)</f>
        <v>428802</v>
      </c>
      <c r="BS27" s="20">
        <f>SUM(E27,R27,AE27,AR27,BE27,BR27)</f>
        <v>2105980</v>
      </c>
    </row>
    <row r="28" outlineLevel="1">
      <c r="A28" s="18" t="str">
        <v>· Egresos No Operacionales</v>
      </c>
      <c r="B28" s="20">
        <v>0</v>
      </c>
      <c r="C28" s="20">
        <v>0</v>
      </c>
      <c r="D28" s="20">
        <v>0</v>
      </c>
      <c r="E28" s="20">
        <f>SUM(B28:D28)</f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f>SUM(F28:Q28)</f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f>SUM(S28:AD28)</f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f>SUM(AF28:AQ28)</f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f>SUM(AS28:BD28)</f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f>SUM(BF28:BQ28)</f>
        <v>0</v>
      </c>
      <c r="BS28" s="20">
        <f>SUM(E28,R28,AE28,AR28,BE28,BR28)</f>
        <v>0</v>
      </c>
    </row>
    <row r="29" outlineLevel="2">
      <c r="A29" s="21" t="str">
        <v>Impuestos Mensuales</v>
      </c>
      <c r="B29" s="22">
        <v>700</v>
      </c>
      <c r="C29" s="22">
        <v>700</v>
      </c>
      <c r="D29" s="22">
        <v>700</v>
      </c>
      <c r="E29" s="23">
        <f>SUM(B29:D29)</f>
        <v>2100</v>
      </c>
      <c r="F29" s="22">
        <v>700</v>
      </c>
      <c r="G29" s="22">
        <v>700</v>
      </c>
      <c r="H29" s="22">
        <v>700</v>
      </c>
      <c r="I29" s="22">
        <v>700</v>
      </c>
      <c r="J29" s="22">
        <v>700</v>
      </c>
      <c r="K29" s="22">
        <v>700</v>
      </c>
      <c r="L29" s="22">
        <v>700</v>
      </c>
      <c r="M29" s="22">
        <v>700</v>
      </c>
      <c r="N29" s="22">
        <v>700</v>
      </c>
      <c r="O29" s="22">
        <v>700</v>
      </c>
      <c r="P29" s="22">
        <v>700</v>
      </c>
      <c r="Q29" s="22">
        <v>700</v>
      </c>
      <c r="R29" s="23">
        <f>SUM(F29:Q29)</f>
        <v>8400</v>
      </c>
      <c r="S29" s="22">
        <v>700</v>
      </c>
      <c r="T29" s="22">
        <v>700</v>
      </c>
      <c r="U29" s="22">
        <v>700</v>
      </c>
      <c r="V29" s="22">
        <v>700</v>
      </c>
      <c r="W29" s="22">
        <v>700</v>
      </c>
      <c r="X29" s="22">
        <v>700</v>
      </c>
      <c r="Y29" s="22">
        <v>700</v>
      </c>
      <c r="Z29" s="22">
        <v>700</v>
      </c>
      <c r="AA29" s="22">
        <v>700</v>
      </c>
      <c r="AB29" s="22">
        <v>700</v>
      </c>
      <c r="AC29" s="22">
        <v>700</v>
      </c>
      <c r="AD29" s="22">
        <v>700</v>
      </c>
      <c r="AE29" s="23">
        <f>SUM(S29:AD29)</f>
        <v>8400</v>
      </c>
      <c r="AF29" s="22">
        <v>700</v>
      </c>
      <c r="AG29" s="22">
        <v>700</v>
      </c>
      <c r="AH29" s="22">
        <v>700</v>
      </c>
      <c r="AI29" s="22">
        <v>700</v>
      </c>
      <c r="AJ29" s="22">
        <v>700</v>
      </c>
      <c r="AK29" s="22">
        <v>700</v>
      </c>
      <c r="AL29" s="22">
        <v>700</v>
      </c>
      <c r="AM29" s="22">
        <v>700</v>
      </c>
      <c r="AN29" s="22">
        <v>700</v>
      </c>
      <c r="AO29" s="22">
        <v>700</v>
      </c>
      <c r="AP29" s="22">
        <v>700</v>
      </c>
      <c r="AQ29" s="22">
        <v>700</v>
      </c>
      <c r="AR29" s="23">
        <f>SUM(AF29:AQ29)</f>
        <v>8400</v>
      </c>
      <c r="AS29" s="22">
        <v>700</v>
      </c>
      <c r="AT29" s="22">
        <v>700</v>
      </c>
      <c r="AU29" s="22">
        <v>700</v>
      </c>
      <c r="AV29" s="22">
        <v>700</v>
      </c>
      <c r="AW29" s="22">
        <v>700</v>
      </c>
      <c r="AX29" s="22">
        <v>700</v>
      </c>
      <c r="AY29" s="22">
        <v>700</v>
      </c>
      <c r="AZ29" s="22">
        <v>700</v>
      </c>
      <c r="BA29" s="22">
        <v>700</v>
      </c>
      <c r="BB29" s="22">
        <v>700</v>
      </c>
      <c r="BC29" s="22">
        <v>700</v>
      </c>
      <c r="BD29" s="22">
        <v>700</v>
      </c>
      <c r="BE29" s="23">
        <f>SUM(AS29:BD29)</f>
        <v>8400</v>
      </c>
      <c r="BF29" s="22">
        <v>700</v>
      </c>
      <c r="BG29" s="22">
        <v>700</v>
      </c>
      <c r="BH29" s="22">
        <v>700</v>
      </c>
      <c r="BI29" s="22">
        <v>700</v>
      </c>
      <c r="BJ29" s="22">
        <v>700</v>
      </c>
      <c r="BK29" s="22">
        <v>700</v>
      </c>
      <c r="BL29" s="22">
        <v>700</v>
      </c>
      <c r="BM29" s="22">
        <v>700</v>
      </c>
      <c r="BN29" s="22">
        <v>700</v>
      </c>
      <c r="BO29" s="22">
        <v>700</v>
      </c>
      <c r="BP29" s="22">
        <v>700</v>
      </c>
      <c r="BQ29" s="22">
        <v>700</v>
      </c>
      <c r="BR29" s="23">
        <f>SUM(BF29:BQ29)</f>
        <v>8400</v>
      </c>
      <c r="BS29" s="23">
        <f>SUM(E29,R29,AE29,AR29,BE29,BR29)</f>
        <v>44100</v>
      </c>
    </row>
    <row r="30" outlineLevel="1">
      <c r="A30" s="18" t="str">
        <v>· Impuestos</v>
      </c>
      <c r="B30" s="20">
        <f>SUM(B29:B29)</f>
        <v>700</v>
      </c>
      <c r="C30" s="20">
        <f>SUM(C29:C29)</f>
        <v>700</v>
      </c>
      <c r="D30" s="20">
        <f>SUM(D29:D29)</f>
        <v>700</v>
      </c>
      <c r="E30" s="20">
        <f>SUM(B30:D30)</f>
        <v>2100</v>
      </c>
      <c r="F30" s="20">
        <f>SUM(F29:F29)</f>
        <v>700</v>
      </c>
      <c r="G30" s="20">
        <f>SUM(G29:G29)</f>
        <v>700</v>
      </c>
      <c r="H30" s="20">
        <f>SUM(H29:H29)</f>
        <v>700</v>
      </c>
      <c r="I30" s="20">
        <f>SUM(I29:I29)</f>
        <v>700</v>
      </c>
      <c r="J30" s="20">
        <f>SUM(J29:J29)</f>
        <v>700</v>
      </c>
      <c r="K30" s="20">
        <f>SUM(K29:K29)</f>
        <v>700</v>
      </c>
      <c r="L30" s="20">
        <f>SUM(L29:L29)</f>
        <v>700</v>
      </c>
      <c r="M30" s="20">
        <f>SUM(M29:M29)</f>
        <v>700</v>
      </c>
      <c r="N30" s="20">
        <f>SUM(N29:N29)</f>
        <v>700</v>
      </c>
      <c r="O30" s="20">
        <f>SUM(O29:O29)</f>
        <v>700</v>
      </c>
      <c r="P30" s="20">
        <f>SUM(P29:P29)</f>
        <v>700</v>
      </c>
      <c r="Q30" s="20">
        <f>SUM(Q29:Q29)</f>
        <v>700</v>
      </c>
      <c r="R30" s="20">
        <f>SUM(F30:Q30)</f>
        <v>8400</v>
      </c>
      <c r="S30" s="20">
        <f>SUM(S29:S29)</f>
        <v>700</v>
      </c>
      <c r="T30" s="20">
        <f>SUM(T29:T29)</f>
        <v>700</v>
      </c>
      <c r="U30" s="20">
        <f>SUM(U29:U29)</f>
        <v>700</v>
      </c>
      <c r="V30" s="20">
        <f>SUM(V29:V29)</f>
        <v>700</v>
      </c>
      <c r="W30" s="20">
        <f>SUM(W29:W29)</f>
        <v>700</v>
      </c>
      <c r="X30" s="20">
        <f>SUM(X29:X29)</f>
        <v>700</v>
      </c>
      <c r="Y30" s="20">
        <f>SUM(Y29:Y29)</f>
        <v>700</v>
      </c>
      <c r="Z30" s="20">
        <f>SUM(Z29:Z29)</f>
        <v>700</v>
      </c>
      <c r="AA30" s="20">
        <f>SUM(AA29:AA29)</f>
        <v>700</v>
      </c>
      <c r="AB30" s="20">
        <f>SUM(AB29:AB29)</f>
        <v>700</v>
      </c>
      <c r="AC30" s="20">
        <f>SUM(AC29:AC29)</f>
        <v>700</v>
      </c>
      <c r="AD30" s="20">
        <f>SUM(AD29:AD29)</f>
        <v>700</v>
      </c>
      <c r="AE30" s="20">
        <f>SUM(S30:AD30)</f>
        <v>8400</v>
      </c>
      <c r="AF30" s="20">
        <f>SUM(AF29:AF29)</f>
        <v>700</v>
      </c>
      <c r="AG30" s="20">
        <f>SUM(AG29:AG29)</f>
        <v>700</v>
      </c>
      <c r="AH30" s="20">
        <f>SUM(AH29:AH29)</f>
        <v>700</v>
      </c>
      <c r="AI30" s="20">
        <f>SUM(AI29:AI29)</f>
        <v>700</v>
      </c>
      <c r="AJ30" s="20">
        <f>SUM(AJ29:AJ29)</f>
        <v>700</v>
      </c>
      <c r="AK30" s="20">
        <f>SUM(AK29:AK29)</f>
        <v>700</v>
      </c>
      <c r="AL30" s="20">
        <f>SUM(AL29:AL29)</f>
        <v>700</v>
      </c>
      <c r="AM30" s="20">
        <f>SUM(AM29:AM29)</f>
        <v>700</v>
      </c>
      <c r="AN30" s="20">
        <f>SUM(AN29:AN29)</f>
        <v>700</v>
      </c>
      <c r="AO30" s="20">
        <f>SUM(AO29:AO29)</f>
        <v>700</v>
      </c>
      <c r="AP30" s="20">
        <f>SUM(AP29:AP29)</f>
        <v>700</v>
      </c>
      <c r="AQ30" s="20">
        <f>SUM(AQ29:AQ29)</f>
        <v>700</v>
      </c>
      <c r="AR30" s="20">
        <f>SUM(AF30:AQ30)</f>
        <v>8400</v>
      </c>
      <c r="AS30" s="20">
        <f>SUM(AS29:AS29)</f>
        <v>700</v>
      </c>
      <c r="AT30" s="20">
        <f>SUM(AT29:AT29)</f>
        <v>700</v>
      </c>
      <c r="AU30" s="20">
        <f>SUM(AU29:AU29)</f>
        <v>700</v>
      </c>
      <c r="AV30" s="20">
        <f>SUM(AV29:AV29)</f>
        <v>700</v>
      </c>
      <c r="AW30" s="20">
        <f>SUM(AW29:AW29)</f>
        <v>700</v>
      </c>
      <c r="AX30" s="20">
        <f>SUM(AX29:AX29)</f>
        <v>700</v>
      </c>
      <c r="AY30" s="20">
        <f>SUM(AY29:AY29)</f>
        <v>700</v>
      </c>
      <c r="AZ30" s="20">
        <f>SUM(AZ29:AZ29)</f>
        <v>700</v>
      </c>
      <c r="BA30" s="20">
        <f>SUM(BA29:BA29)</f>
        <v>700</v>
      </c>
      <c r="BB30" s="20">
        <f>SUM(BB29:BB29)</f>
        <v>700</v>
      </c>
      <c r="BC30" s="20">
        <f>SUM(BC29:BC29)</f>
        <v>700</v>
      </c>
      <c r="BD30" s="20">
        <f>SUM(BD29:BD29)</f>
        <v>700</v>
      </c>
      <c r="BE30" s="20">
        <f>SUM(AS30:BD30)</f>
        <v>8400</v>
      </c>
      <c r="BF30" s="20">
        <f>SUM(BF29:BF29)</f>
        <v>700</v>
      </c>
      <c r="BG30" s="20">
        <f>SUM(BG29:BG29)</f>
        <v>700</v>
      </c>
      <c r="BH30" s="20">
        <f>SUM(BH29:BH29)</f>
        <v>700</v>
      </c>
      <c r="BI30" s="20">
        <f>SUM(BI29:BI29)</f>
        <v>700</v>
      </c>
      <c r="BJ30" s="20">
        <f>SUM(BJ29:BJ29)</f>
        <v>700</v>
      </c>
      <c r="BK30" s="20">
        <f>SUM(BK29:BK29)</f>
        <v>700</v>
      </c>
      <c r="BL30" s="20">
        <f>SUM(BL29:BL29)</f>
        <v>700</v>
      </c>
      <c r="BM30" s="20">
        <f>SUM(BM29:BM29)</f>
        <v>700</v>
      </c>
      <c r="BN30" s="20">
        <f>SUM(BN29:BN29)</f>
        <v>700</v>
      </c>
      <c r="BO30" s="20">
        <f>SUM(BO29:BO29)</f>
        <v>700</v>
      </c>
      <c r="BP30" s="20">
        <f>SUM(BP29:BP29)</f>
        <v>700</v>
      </c>
      <c r="BQ30" s="20">
        <f>SUM(BQ29:BQ29)</f>
        <v>700</v>
      </c>
      <c r="BR30" s="20">
        <f>SUM(BF30:BQ30)</f>
        <v>8400</v>
      </c>
      <c r="BS30" s="20">
        <f>SUM(E30,R30,AE30,AR30,BE30,BR30)</f>
        <v>44100</v>
      </c>
    </row>
    <row r="31">
      <c r="A31" s="24" t="str">
        <v>(+) Ingresos del mes</v>
      </c>
      <c r="B31" s="25">
        <f>B5+B6</f>
        <v>0</v>
      </c>
      <c r="C31" s="25">
        <f>C5+C6</f>
        <v>0</v>
      </c>
      <c r="D31" s="25">
        <f>D5+D6</f>
        <v>0</v>
      </c>
      <c r="E31" s="25">
        <f>SUM(B31:D31)</f>
        <v>0</v>
      </c>
      <c r="F31" s="25">
        <f>F5+F6</f>
        <v>0</v>
      </c>
      <c r="G31" s="25">
        <f>G5+G6</f>
        <v>0</v>
      </c>
      <c r="H31" s="25">
        <f>H5+H6</f>
        <v>0</v>
      </c>
      <c r="I31" s="25">
        <f>I5+I6</f>
        <v>0</v>
      </c>
      <c r="J31" s="25">
        <f>J5+J6</f>
        <v>0</v>
      </c>
      <c r="K31" s="25">
        <f>K5+K6</f>
        <v>0</v>
      </c>
      <c r="L31" s="25">
        <f>L5+L6</f>
        <v>0</v>
      </c>
      <c r="M31" s="25">
        <f>M5+M6</f>
        <v>0</v>
      </c>
      <c r="N31" s="25">
        <f>N5+N6</f>
        <v>0</v>
      </c>
      <c r="O31" s="25">
        <f>O5+O6</f>
        <v>0</v>
      </c>
      <c r="P31" s="25">
        <f>P5+P6</f>
        <v>0</v>
      </c>
      <c r="Q31" s="25">
        <f>Q5+Q6</f>
        <v>0</v>
      </c>
      <c r="R31" s="25">
        <f>SUM(F31:Q31)</f>
        <v>0</v>
      </c>
      <c r="S31" s="25">
        <f>S5+S6</f>
        <v>0</v>
      </c>
      <c r="T31" s="25">
        <f>T5+T6</f>
        <v>0</v>
      </c>
      <c r="U31" s="25">
        <f>U5+U6</f>
        <v>0</v>
      </c>
      <c r="V31" s="25">
        <f>V5+V6</f>
        <v>0</v>
      </c>
      <c r="W31" s="25">
        <f>W5+W6</f>
        <v>0</v>
      </c>
      <c r="X31" s="25">
        <f>X5+X6</f>
        <v>0</v>
      </c>
      <c r="Y31" s="25">
        <f>Y5+Y6</f>
        <v>0</v>
      </c>
      <c r="Z31" s="25">
        <f>Z5+Z6</f>
        <v>0</v>
      </c>
      <c r="AA31" s="25">
        <f>AA5+AA6</f>
        <v>0</v>
      </c>
      <c r="AB31" s="25">
        <f>AB5+AB6</f>
        <v>0</v>
      </c>
      <c r="AC31" s="25">
        <f>AC5+AC6</f>
        <v>0</v>
      </c>
      <c r="AD31" s="25">
        <f>AD5+AD6</f>
        <v>0</v>
      </c>
      <c r="AE31" s="25">
        <f>SUM(S31:AD31)</f>
        <v>0</v>
      </c>
      <c r="AF31" s="25">
        <f>AF5+AF6</f>
        <v>0</v>
      </c>
      <c r="AG31" s="25">
        <f>AG5+AG6</f>
        <v>0</v>
      </c>
      <c r="AH31" s="25">
        <f>AH5+AH6</f>
        <v>0</v>
      </c>
      <c r="AI31" s="25">
        <f>AI5+AI6</f>
        <v>0</v>
      </c>
      <c r="AJ31" s="25">
        <f>AJ5+AJ6</f>
        <v>0</v>
      </c>
      <c r="AK31" s="25">
        <f>AK5+AK6</f>
        <v>0</v>
      </c>
      <c r="AL31" s="25">
        <f>AL5+AL6</f>
        <v>0</v>
      </c>
      <c r="AM31" s="25">
        <f>AM5+AM6</f>
        <v>0</v>
      </c>
      <c r="AN31" s="25">
        <f>AN5+AN6</f>
        <v>0</v>
      </c>
      <c r="AO31" s="25">
        <f>AO5+AO6</f>
        <v>0</v>
      </c>
      <c r="AP31" s="25">
        <f>AP5+AP6</f>
        <v>0</v>
      </c>
      <c r="AQ31" s="25">
        <f>AQ5+AQ6</f>
        <v>0</v>
      </c>
      <c r="AR31" s="25">
        <f>SUM(AF31:AQ31)</f>
        <v>0</v>
      </c>
      <c r="AS31" s="25">
        <f>AS5+AS6</f>
        <v>0</v>
      </c>
      <c r="AT31" s="25">
        <f>AT5+AT6</f>
        <v>0</v>
      </c>
      <c r="AU31" s="25">
        <f>AU5+AU6</f>
        <v>0</v>
      </c>
      <c r="AV31" s="25">
        <f>AV5+AV6</f>
        <v>0</v>
      </c>
      <c r="AW31" s="25">
        <f>AW5+AW6</f>
        <v>0</v>
      </c>
      <c r="AX31" s="25">
        <f>AX5+AX6</f>
        <v>0</v>
      </c>
      <c r="AY31" s="25">
        <f>AY5+AY6</f>
        <v>0</v>
      </c>
      <c r="AZ31" s="25">
        <f>AZ5+AZ6</f>
        <v>0</v>
      </c>
      <c r="BA31" s="25">
        <f>BA5+BA6</f>
        <v>0</v>
      </c>
      <c r="BB31" s="25">
        <f>BB5+BB6</f>
        <v>0</v>
      </c>
      <c r="BC31" s="25">
        <f>BC5+BC6</f>
        <v>0</v>
      </c>
      <c r="BD31" s="25">
        <f>BD5+BD6</f>
        <v>0</v>
      </c>
      <c r="BE31" s="25">
        <f>SUM(AS31:BD31)</f>
        <v>0</v>
      </c>
      <c r="BF31" s="25">
        <f>BF5+BF6</f>
        <v>0</v>
      </c>
      <c r="BG31" s="25">
        <f>BG5+BG6</f>
        <v>0</v>
      </c>
      <c r="BH31" s="25">
        <f>BH5+BH6</f>
        <v>0</v>
      </c>
      <c r="BI31" s="25">
        <f>BI5+BI6</f>
        <v>0</v>
      </c>
      <c r="BJ31" s="25">
        <f>BJ5+BJ6</f>
        <v>0</v>
      </c>
      <c r="BK31" s="25">
        <f>BK5+BK6</f>
        <v>0</v>
      </c>
      <c r="BL31" s="25">
        <f>BL5+BL6</f>
        <v>0</v>
      </c>
      <c r="BM31" s="25">
        <f>BM5+BM6</f>
        <v>0</v>
      </c>
      <c r="BN31" s="25">
        <f>BN5+BN6</f>
        <v>0</v>
      </c>
      <c r="BO31" s="25">
        <f>BO5+BO6</f>
        <v>0</v>
      </c>
      <c r="BP31" s="25">
        <f>BP5+BP6</f>
        <v>0</v>
      </c>
      <c r="BQ31" s="25">
        <f>BQ5+BQ6</f>
        <v>0</v>
      </c>
      <c r="BR31" s="25">
        <f>SUM(BF31:BQ31)</f>
        <v>0</v>
      </c>
      <c r="BS31" s="25">
        <f>SUM(E31,R31,AE31,AR31,BE31,BR31)</f>
        <v>0</v>
      </c>
    </row>
    <row r="32">
      <c r="A32" s="24" t="str">
        <v>(−) Egresos del mes</v>
      </c>
      <c r="B32" s="26">
        <f>B7+B27+B28+B30</f>
        <v>28486</v>
      </c>
      <c r="C32" s="26">
        <f>C7+C27+C28+C30</f>
        <v>28486</v>
      </c>
      <c r="D32" s="26">
        <f>D7+D27+D28+D30</f>
        <v>28486</v>
      </c>
      <c r="E32" s="26">
        <f>SUM(B32:D32)</f>
        <v>85458</v>
      </c>
      <c r="F32" s="26">
        <f>F7+F27+F28+F30</f>
        <v>34586</v>
      </c>
      <c r="G32" s="26">
        <f>G7+G27+G28+G30</f>
        <v>29552</v>
      </c>
      <c r="H32" s="26">
        <f>H7+H27+H28+H30</f>
        <v>29252</v>
      </c>
      <c r="I32" s="26">
        <f>I7+I27+I28+I30</f>
        <v>31568</v>
      </c>
      <c r="J32" s="26">
        <f>J7+J27+J28+J30</f>
        <v>31430</v>
      </c>
      <c r="K32" s="26">
        <f>K7+K27+K28+K30</f>
        <v>41130</v>
      </c>
      <c r="L32" s="26">
        <f>L7+L27+L28+L30</f>
        <v>30889</v>
      </c>
      <c r="M32" s="26">
        <f>M7+M27+M28+M30</f>
        <v>28964</v>
      </c>
      <c r="N32" s="26">
        <f>N7+N27+N28+N30</f>
        <v>27086</v>
      </c>
      <c r="O32" s="26">
        <f>O7+O27+O28+O30</f>
        <v>27086</v>
      </c>
      <c r="P32" s="26">
        <f>P7+P27+P28+P30</f>
        <v>29252</v>
      </c>
      <c r="Q32" s="26">
        <f>Q7+Q27+Q28+Q30</f>
        <v>48573</v>
      </c>
      <c r="R32" s="26">
        <f>SUM(F32:Q32)</f>
        <v>389368</v>
      </c>
      <c r="S32" s="26">
        <f>S7+S27+S28+S30</f>
        <v>35603</v>
      </c>
      <c r="T32" s="26">
        <f>T7+T27+T28+T30</f>
        <v>30418</v>
      </c>
      <c r="U32" s="26">
        <f>U7+U27+U28+U30</f>
        <v>30109</v>
      </c>
      <c r="V32" s="26">
        <f>V7+V27+V28+V30</f>
        <v>32495</v>
      </c>
      <c r="W32" s="26">
        <f>W7+W27+W28+W30</f>
        <v>32353</v>
      </c>
      <c r="X32" s="26">
        <f>X7+X27+X28+X30</f>
        <v>42344</v>
      </c>
      <c r="Y32" s="26">
        <f>Y7+Y27+Y28+Y30</f>
        <v>31796</v>
      </c>
      <c r="Z32" s="26">
        <f>Z7+Z27+Z28+Z30</f>
        <v>29813</v>
      </c>
      <c r="AA32" s="26">
        <f>AA7+AA27+AA28+AA30</f>
        <v>27878</v>
      </c>
      <c r="AB32" s="26">
        <f>AB7+AB27+AB28+AB30</f>
        <v>27878</v>
      </c>
      <c r="AC32" s="26">
        <f>AC7+AC27+AC28+AC30</f>
        <v>30109</v>
      </c>
      <c r="AD32" s="26">
        <f>AD7+AD27+AD28+AD30</f>
        <v>50010</v>
      </c>
      <c r="AE32" s="26">
        <f>SUM(S32:AD32)</f>
        <v>400806</v>
      </c>
      <c r="AF32" s="26">
        <f>AF7+AF27+AF28+AF30</f>
        <v>36649</v>
      </c>
      <c r="AG32" s="26">
        <f>AG7+AG27+AG28+AG30</f>
        <v>31309</v>
      </c>
      <c r="AH32" s="26">
        <f>AH7+AH27+AH28+AH30</f>
        <v>30990</v>
      </c>
      <c r="AI32" s="26">
        <f>AI7+AI27+AI28+AI30</f>
        <v>33447</v>
      </c>
      <c r="AJ32" s="26">
        <f>AJ7+AJ27+AJ28+AJ30</f>
        <v>33301</v>
      </c>
      <c r="AK32" s="26">
        <f>AK7+AK27+AK28+AK30</f>
        <v>43591</v>
      </c>
      <c r="AL32" s="26">
        <f>AL7+AL27+AL28+AL30</f>
        <v>32727</v>
      </c>
      <c r="AM32" s="26">
        <f>AM7+AM27+AM28+AM30</f>
        <v>30684</v>
      </c>
      <c r="AN32" s="26">
        <f>AN7+AN27+AN28+AN30</f>
        <v>28692</v>
      </c>
      <c r="AO32" s="26">
        <f>AO7+AO27+AO28+AO30</f>
        <v>28692</v>
      </c>
      <c r="AP32" s="26">
        <f>AP7+AP27+AP28+AP30</f>
        <v>30990</v>
      </c>
      <c r="AQ32" s="26">
        <f>AQ7+AQ27+AQ28+AQ30</f>
        <v>51487</v>
      </c>
      <c r="AR32" s="26">
        <f>SUM(AF32:AQ32)</f>
        <v>412559</v>
      </c>
      <c r="AS32" s="26">
        <f>AS7+AS27+AS28+AS30</f>
        <v>37728</v>
      </c>
      <c r="AT32" s="26">
        <f>AT7+AT27+AT28+AT30</f>
        <v>32227</v>
      </c>
      <c r="AU32" s="26">
        <f>AU7+AU27+AU28+AU30</f>
        <v>31899</v>
      </c>
      <c r="AV32" s="26">
        <f>AV7+AV27+AV28+AV30</f>
        <v>34430</v>
      </c>
      <c r="AW32" s="26">
        <f>AW7+AW27+AW28+AW30</f>
        <v>34279</v>
      </c>
      <c r="AX32" s="26">
        <f>AX7+AX27+AX28+AX30</f>
        <v>44878</v>
      </c>
      <c r="AY32" s="26">
        <f>AY7+AY27+AY28+AY30</f>
        <v>33688</v>
      </c>
      <c r="AZ32" s="26">
        <f>AZ7+AZ27+AZ28+AZ30</f>
        <v>31584</v>
      </c>
      <c r="BA32" s="26">
        <f>BA7+BA27+BA28+BA30</f>
        <v>29532</v>
      </c>
      <c r="BB32" s="26">
        <f>BB7+BB27+BB28+BB30</f>
        <v>29532</v>
      </c>
      <c r="BC32" s="26">
        <f>BC7+BC27+BC28+BC30</f>
        <v>31899</v>
      </c>
      <c r="BD32" s="26">
        <f>BD7+BD27+BD28+BD30</f>
        <v>53011</v>
      </c>
      <c r="BE32" s="26">
        <f>SUM(AS32:BD32)</f>
        <v>424687</v>
      </c>
      <c r="BF32" s="26">
        <f>BF7+BF27+BF28+BF30</f>
        <v>38841</v>
      </c>
      <c r="BG32" s="26">
        <f>BG7+BG27+BG28+BG30</f>
        <v>33174</v>
      </c>
      <c r="BH32" s="26">
        <f>BH7+BH27+BH28+BH30</f>
        <v>32837</v>
      </c>
      <c r="BI32" s="26">
        <f>BI7+BI27+BI28+BI30</f>
        <v>35444</v>
      </c>
      <c r="BJ32" s="26">
        <f>BJ7+BJ27+BJ28+BJ30</f>
        <v>35288</v>
      </c>
      <c r="BK32" s="26">
        <f>BK7+BK27+BK28+BK30</f>
        <v>46206</v>
      </c>
      <c r="BL32" s="26">
        <f>BL7+BL27+BL28+BL30</f>
        <v>34679</v>
      </c>
      <c r="BM32" s="26">
        <f>BM7+BM27+BM28+BM30</f>
        <v>32513</v>
      </c>
      <c r="BN32" s="26">
        <f>BN7+BN27+BN28+BN30</f>
        <v>30400</v>
      </c>
      <c r="BO32" s="26">
        <f>BO7+BO27+BO28+BO30</f>
        <v>30400</v>
      </c>
      <c r="BP32" s="26">
        <f>BP7+BP27+BP28+BP30</f>
        <v>32837</v>
      </c>
      <c r="BQ32" s="26">
        <f>BQ7+BQ27+BQ28+BQ30</f>
        <v>54583</v>
      </c>
      <c r="BR32" s="26">
        <f>SUM(BF32:BQ32)</f>
        <v>437202</v>
      </c>
      <c r="BS32" s="26">
        <f>SUM(E32,R32,AE32,AR32,BE32,BR32)</f>
        <v>2150080</v>
      </c>
    </row>
    <row r="33">
      <c r="A33" s="27" t="str">
        <v>(=) Flujo neto</v>
      </c>
      <c r="B33" s="28">
        <f>B31-B32</f>
        <v>-28486</v>
      </c>
      <c r="C33" s="29">
        <f>C31-C32</f>
        <v>-28486</v>
      </c>
      <c r="D33" s="29">
        <f>D31-D32</f>
        <v>-28486</v>
      </c>
      <c r="E33" s="29">
        <f>SUM(B33:D33)</f>
        <v>-85458</v>
      </c>
      <c r="F33" s="29">
        <f>F31-F32</f>
        <v>-34586</v>
      </c>
      <c r="G33" s="29">
        <f>G31-G32</f>
        <v>-29552</v>
      </c>
      <c r="H33" s="29">
        <f>H31-H32</f>
        <v>-29252</v>
      </c>
      <c r="I33" s="29">
        <f>I31-I32</f>
        <v>-31568</v>
      </c>
      <c r="J33" s="29">
        <f>J31-J32</f>
        <v>-31430</v>
      </c>
      <c r="K33" s="29">
        <f>K31-K32</f>
        <v>-41130</v>
      </c>
      <c r="L33" s="29">
        <f>L31-L32</f>
        <v>-30889</v>
      </c>
      <c r="M33" s="29">
        <f>M31-M32</f>
        <v>-28964</v>
      </c>
      <c r="N33" s="29">
        <f>N31-N32</f>
        <v>-27086</v>
      </c>
      <c r="O33" s="29">
        <f>O31-O32</f>
        <v>-27086</v>
      </c>
      <c r="P33" s="29">
        <f>P31-P32</f>
        <v>-29252</v>
      </c>
      <c r="Q33" s="29">
        <f>Q31-Q32</f>
        <v>-48573</v>
      </c>
      <c r="R33" s="29">
        <f>SUM(F33:Q33)</f>
        <v>-389368</v>
      </c>
      <c r="S33" s="29">
        <f>S31-S32</f>
        <v>-35603</v>
      </c>
      <c r="T33" s="29">
        <f>T31-T32</f>
        <v>-30418</v>
      </c>
      <c r="U33" s="29">
        <f>U31-U32</f>
        <v>-30109</v>
      </c>
      <c r="V33" s="29">
        <f>V31-V32</f>
        <v>-32495</v>
      </c>
      <c r="W33" s="29">
        <f>W31-W32</f>
        <v>-32353</v>
      </c>
      <c r="X33" s="29">
        <f>X31-X32</f>
        <v>-42344</v>
      </c>
      <c r="Y33" s="29">
        <f>Y31-Y32</f>
        <v>-31796</v>
      </c>
      <c r="Z33" s="29">
        <f>Z31-Z32</f>
        <v>-29813</v>
      </c>
      <c r="AA33" s="29">
        <f>AA31-AA32</f>
        <v>-27878</v>
      </c>
      <c r="AB33" s="29">
        <f>AB31-AB32</f>
        <v>-27878</v>
      </c>
      <c r="AC33" s="29">
        <f>AC31-AC32</f>
        <v>-30109</v>
      </c>
      <c r="AD33" s="29">
        <f>AD31-AD32</f>
        <v>-50010</v>
      </c>
      <c r="AE33" s="29">
        <f>SUM(S33:AD33)</f>
        <v>-400806</v>
      </c>
      <c r="AF33" s="29">
        <f>AF31-AF32</f>
        <v>-36649</v>
      </c>
      <c r="AG33" s="29">
        <f>AG31-AG32</f>
        <v>-31309</v>
      </c>
      <c r="AH33" s="29">
        <f>AH31-AH32</f>
        <v>-30990</v>
      </c>
      <c r="AI33" s="29">
        <f>AI31-AI32</f>
        <v>-33447</v>
      </c>
      <c r="AJ33" s="29">
        <f>AJ31-AJ32</f>
        <v>-33301</v>
      </c>
      <c r="AK33" s="29">
        <f>AK31-AK32</f>
        <v>-43591</v>
      </c>
      <c r="AL33" s="29">
        <f>AL31-AL32</f>
        <v>-32727</v>
      </c>
      <c r="AM33" s="29">
        <f>AM31-AM32</f>
        <v>-30684</v>
      </c>
      <c r="AN33" s="29">
        <f>AN31-AN32</f>
        <v>-28692</v>
      </c>
      <c r="AO33" s="29">
        <f>AO31-AO32</f>
        <v>-28692</v>
      </c>
      <c r="AP33" s="29">
        <f>AP31-AP32</f>
        <v>-30990</v>
      </c>
      <c r="AQ33" s="29">
        <f>AQ31-AQ32</f>
        <v>-51487</v>
      </c>
      <c r="AR33" s="29">
        <f>SUM(AF33:AQ33)</f>
        <v>-412559</v>
      </c>
      <c r="AS33" s="29">
        <f>AS31-AS32</f>
        <v>-37728</v>
      </c>
      <c r="AT33" s="29">
        <f>AT31-AT32</f>
        <v>-32227</v>
      </c>
      <c r="AU33" s="29">
        <f>AU31-AU32</f>
        <v>-31899</v>
      </c>
      <c r="AV33" s="29">
        <f>AV31-AV32</f>
        <v>-34430</v>
      </c>
      <c r="AW33" s="29">
        <f>AW31-AW32</f>
        <v>-34279</v>
      </c>
      <c r="AX33" s="29">
        <f>AX31-AX32</f>
        <v>-44878</v>
      </c>
      <c r="AY33" s="29">
        <f>AY31-AY32</f>
        <v>-33688</v>
      </c>
      <c r="AZ33" s="29">
        <f>AZ31-AZ32</f>
        <v>-31584</v>
      </c>
      <c r="BA33" s="29">
        <f>BA31-BA32</f>
        <v>-29532</v>
      </c>
      <c r="BB33" s="29">
        <f>BB31-BB32</f>
        <v>-29532</v>
      </c>
      <c r="BC33" s="29">
        <f>BC31-BC32</f>
        <v>-31899</v>
      </c>
      <c r="BD33" s="29">
        <f>BD31-BD32</f>
        <v>-53011</v>
      </c>
      <c r="BE33" s="29">
        <f>SUM(AS33:BD33)</f>
        <v>-424687</v>
      </c>
      <c r="BF33" s="29">
        <f>BF31-BF32</f>
        <v>-38841</v>
      </c>
      <c r="BG33" s="29">
        <f>BG31-BG32</f>
        <v>-33174</v>
      </c>
      <c r="BH33" s="29">
        <f>BH31-BH32</f>
        <v>-32837</v>
      </c>
      <c r="BI33" s="29">
        <f>BI31-BI32</f>
        <v>-35444</v>
      </c>
      <c r="BJ33" s="29">
        <f>BJ31-BJ32</f>
        <v>-35288</v>
      </c>
      <c r="BK33" s="29">
        <f>BK31-BK32</f>
        <v>-46206</v>
      </c>
      <c r="BL33" s="29">
        <f>BL31-BL32</f>
        <v>-34679</v>
      </c>
      <c r="BM33" s="29">
        <f>BM31-BM32</f>
        <v>-32513</v>
      </c>
      <c r="BN33" s="29">
        <f>BN31-BN32</f>
        <v>-30400</v>
      </c>
      <c r="BO33" s="29">
        <f>BO31-BO32</f>
        <v>-30400</v>
      </c>
      <c r="BP33" s="29">
        <f>BP31-BP32</f>
        <v>-32837</v>
      </c>
      <c r="BQ33" s="29">
        <f>BQ31-BQ32</f>
        <v>-54583</v>
      </c>
      <c r="BR33" s="29">
        <f>SUM(BF33:BQ33)</f>
        <v>-437202</v>
      </c>
      <c r="BS33" s="29">
        <f>SUM(E33,R33,AE33,AR33,BE33,BR33)</f>
        <v>-2150080</v>
      </c>
    </row>
    <row r="34">
      <c r="A34" s="30" t="str">
        <v>(=) Saldo final caja</v>
      </c>
      <c r="B34" s="13" t="str">
        <v/>
      </c>
      <c r="C34" s="13" t="str">
        <v/>
      </c>
      <c r="D34" s="13" t="str">
        <v/>
      </c>
      <c r="E34" s="13" t="str">
        <v/>
      </c>
      <c r="F34" s="13" t="str">
        <v/>
      </c>
      <c r="G34" s="13" t="str">
        <v/>
      </c>
      <c r="H34" s="13" t="str">
        <v/>
      </c>
      <c r="I34" s="13">
        <f>I4+I33</f>
        <v>-14135</v>
      </c>
      <c r="J34" s="13">
        <f>J4+J33</f>
        <v>-45565</v>
      </c>
      <c r="K34" s="13">
        <f>K4+K33</f>
        <v>-86695</v>
      </c>
      <c r="L34" s="13">
        <f>L4+L33</f>
        <v>-117584</v>
      </c>
      <c r="M34" s="13">
        <f>M4+M33</f>
        <v>-146548</v>
      </c>
      <c r="N34" s="13">
        <f>N4+N33</f>
        <v>-173634</v>
      </c>
      <c r="O34" s="13">
        <f>O4+O33</f>
        <v>-200720</v>
      </c>
      <c r="P34" s="13">
        <f>P4+P33</f>
        <v>-229972</v>
      </c>
      <c r="Q34" s="13">
        <f>Q4+Q33</f>
        <v>-278545</v>
      </c>
      <c r="R34" s="13">
        <f>Q34</f>
        <v>-278545</v>
      </c>
      <c r="S34" s="13">
        <f>S4+S33</f>
        <v>-314148</v>
      </c>
      <c r="T34" s="13">
        <f>T4+T33</f>
        <v>-344566</v>
      </c>
      <c r="U34" s="13">
        <f>U4+U33</f>
        <v>-374675</v>
      </c>
      <c r="V34" s="13">
        <f>V4+V33</f>
        <v>-407170</v>
      </c>
      <c r="W34" s="13">
        <f>W4+W33</f>
        <v>-439523</v>
      </c>
      <c r="X34" s="13">
        <f>X4+X33</f>
        <v>-481867</v>
      </c>
      <c r="Y34" s="13">
        <f>Y4+Y33</f>
        <v>-513663</v>
      </c>
      <c r="Z34" s="13">
        <f>Z4+Z33</f>
        <v>-543476</v>
      </c>
      <c r="AA34" s="13">
        <f>AA4+AA33</f>
        <v>-571354</v>
      </c>
      <c r="AB34" s="13">
        <f>AB4+AB33</f>
        <v>-599232</v>
      </c>
      <c r="AC34" s="13">
        <f>AC4+AC33</f>
        <v>-629341</v>
      </c>
      <c r="AD34" s="13">
        <f>AD4+AD33</f>
        <v>-679351</v>
      </c>
      <c r="AE34" s="13">
        <f>AD34</f>
        <v>-679351</v>
      </c>
      <c r="AF34" s="13">
        <f>AF4+AF33</f>
        <v>-716000</v>
      </c>
      <c r="AG34" s="13">
        <f>AG4+AG33</f>
        <v>-747309</v>
      </c>
      <c r="AH34" s="13">
        <f>AH4+AH33</f>
        <v>-778299</v>
      </c>
      <c r="AI34" s="13">
        <f>AI4+AI33</f>
        <v>-811746</v>
      </c>
      <c r="AJ34" s="13">
        <f>AJ4+AJ33</f>
        <v>-845047</v>
      </c>
      <c r="AK34" s="13">
        <f>AK4+AK33</f>
        <v>-888638</v>
      </c>
      <c r="AL34" s="13">
        <f>AL4+AL33</f>
        <v>-921365</v>
      </c>
      <c r="AM34" s="13">
        <f>AM4+AM33</f>
        <v>-952049</v>
      </c>
      <c r="AN34" s="13">
        <f>AN4+AN33</f>
        <v>-980741</v>
      </c>
      <c r="AO34" s="13">
        <f>AO4+AO33</f>
        <v>-1009433</v>
      </c>
      <c r="AP34" s="13">
        <f>AP4+AP33</f>
        <v>-1040423</v>
      </c>
      <c r="AQ34" s="13">
        <f>AQ4+AQ33</f>
        <v>-1091910</v>
      </c>
      <c r="AR34" s="13">
        <f>AQ34</f>
        <v>-1091910</v>
      </c>
      <c r="AS34" s="13">
        <f>AS4+AS33</f>
        <v>-1129638</v>
      </c>
      <c r="AT34" s="13">
        <f>AT4+AT33</f>
        <v>-1161865</v>
      </c>
      <c r="AU34" s="13">
        <f>AU4+AU33</f>
        <v>-1193764</v>
      </c>
      <c r="AV34" s="13">
        <f>AV4+AV33</f>
        <v>-1228194</v>
      </c>
      <c r="AW34" s="13">
        <f>AW4+AW33</f>
        <v>-1262473</v>
      </c>
      <c r="AX34" s="13">
        <f>AX4+AX33</f>
        <v>-1307351</v>
      </c>
      <c r="AY34" s="13">
        <f>AY4+AY33</f>
        <v>-1341039</v>
      </c>
      <c r="AZ34" s="13">
        <f>AZ4+AZ33</f>
        <v>-1372623</v>
      </c>
      <c r="BA34" s="13">
        <f>BA4+BA33</f>
        <v>-1402155</v>
      </c>
      <c r="BB34" s="13">
        <f>BB4+BB33</f>
        <v>-1431687</v>
      </c>
      <c r="BC34" s="13">
        <f>BC4+BC33</f>
        <v>-1463586</v>
      </c>
      <c r="BD34" s="13">
        <f>BD4+BD33</f>
        <v>-1516597</v>
      </c>
      <c r="BE34" s="13">
        <f>BD34</f>
        <v>-1516597</v>
      </c>
      <c r="BF34" s="13">
        <f>BF4+BF33</f>
        <v>-1555438</v>
      </c>
      <c r="BG34" s="13">
        <f>BG4+BG33</f>
        <v>-1588612</v>
      </c>
      <c r="BH34" s="13">
        <f>BH4+BH33</f>
        <v>-1621449</v>
      </c>
      <c r="BI34" s="13">
        <f>BI4+BI33</f>
        <v>-1656893</v>
      </c>
      <c r="BJ34" s="13">
        <f>BJ4+BJ33</f>
        <v>-1692181</v>
      </c>
      <c r="BK34" s="13">
        <f>BK4+BK33</f>
        <v>-1738387</v>
      </c>
      <c r="BL34" s="13">
        <f>BL4+BL33</f>
        <v>-1773066</v>
      </c>
      <c r="BM34" s="13">
        <f>BM4+BM33</f>
        <v>-1805579</v>
      </c>
      <c r="BN34" s="13">
        <f>BN4+BN33</f>
        <v>-1835979</v>
      </c>
      <c r="BO34" s="13">
        <f>BO4+BO33</f>
        <v>-1866379</v>
      </c>
      <c r="BP34" s="13">
        <f>BP4+BP33</f>
        <v>-1899216</v>
      </c>
      <c r="BQ34" s="13">
        <f>BQ4+BQ33</f>
        <v>-1953799</v>
      </c>
      <c r="BR34" s="13">
        <f>BQ34</f>
        <v>-1953799</v>
      </c>
      <c r="BS34" s="13">
        <f>BQ34</f>
        <v>-1953799</v>
      </c>
    </row>
    <row r="37">
      <c r="A37" s="31" t="str">
        <v>Saldo inicial Oct-26 = US$ 17.433,00: saldos bancarios vigentes al 2026-10-13 (último saldo de cada cuenta). Cuentas en otra moneda al TC guardado al registrar cada saldo (open.er-api), el mismo valor que muestran Saldos Bancos y el flujo en pantalla.</v>
      </c>
    </row>
    <row r="38">
      <c r="A38" s="31" t="str">
        <v>· BICE USD 17.433,00 al 2026-09-15 → US$ 17.433,00</v>
      </c>
    </row>
  </sheetData>
  <mergeCells count="7">
    <mergeCell ref="A1:E1"/>
    <mergeCell ref="B2:E2"/>
    <mergeCell ref="F2:R2"/>
    <mergeCell ref="S2:AE2"/>
    <mergeCell ref="AF2:AR2"/>
    <mergeCell ref="AS2:BE2"/>
    <mergeCell ref="BF2:BR2"/>
  </mergeCells>
  <ignoredErrors>
    <ignoredError numberStoredAsText="1" sqref="A1:BS38"/>
  </ignoredErrors>
  <drawing r:id="rIdLogo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"/>
  <sheetViews>
    <sheetView workbookViewId="0" rightToLeft="0"/>
  </sheetViews>
  <cols>
    <col min="1" max="1" width="12.83203125" customWidth="1"/>
    <col min="2" max="2" width="20.83203125" customWidth="1"/>
    <col min="3" max="3" width="10.83203125" customWidth="1"/>
    <col min="4" max="4" width="11.83203125" customWidth="1"/>
    <col min="5" max="5" width="8.83203125" customWidth="1"/>
    <col min="6" max="6" width="9.83203125" customWidth="1"/>
    <col min="7" max="7" width="9.83203125" customWidth="1"/>
    <col min="8" max="8" width="2.83203125" customWidth="1"/>
    <col min="9" max="9" width="11.83203125" customWidth="1"/>
    <col min="10" max="10" width="12.83203125" customWidth="1"/>
    <col min="11" max="11" width="11.83203125" customWidth="1"/>
    <col min="12" max="12" width="12.83203125" customWidth="1"/>
    <col min="13" max="13" width="11.83203125" customWidth="1"/>
    <col min="14" max="14" width="12.83203125" customWidth="1"/>
    <col min="15" max="15" width="11.83203125" customWidth="1"/>
    <col min="16" max="16" width="12.83203125" customWidth="1"/>
    <col min="17" max="17" width="11.83203125" customWidth="1"/>
    <col min="18" max="18" width="12.83203125" customWidth="1"/>
    <col min="19" max="19" width="11.83203125" customWidth="1"/>
    <col min="20" max="20" width="12.83203125" customWidth="1"/>
    <col min="21" max="21" width="11.83203125" customWidth="1"/>
    <col min="22" max="22" width="12.83203125" customWidth="1"/>
    <col min="23" max="23" width="11.83203125" customWidth="1"/>
    <col min="24" max="24" width="12.83203125" customWidth="1"/>
    <col min="25" max="25" width="11.83203125" customWidth="1"/>
    <col min="26" max="26" width="12.83203125" customWidth="1"/>
  </cols>
  <sheetData>
    <row r="1" ht="20" customHeight="1">
      <c r="A1" s="32" t="str">
        <v>⚙ Parámetros — Allegria Foods</v>
      </c>
      <c r="B1" s="33" t="str">
        <v/>
      </c>
      <c r="C1" s="33" t="str">
        <v/>
      </c>
      <c r="D1" s="33" t="str">
        <v/>
      </c>
      <c r="E1" s="33" t="str">
        <v/>
      </c>
      <c r="F1" s="33" t="str">
        <v/>
      </c>
      <c r="G1" s="33" t="str">
        <v/>
      </c>
      <c r="H1" s="33" t="str">
        <v/>
      </c>
    </row>
    <row r="2">
      <c r="A2" s="34" t="str">
        <v>Celdas amarillas = editables. El flujo recalcula solo (SUMIF por mes).</v>
      </c>
    </row>
    <row r="4">
      <c r="I4" s="9" t="str">
        <v>Ant.Cerezas</v>
      </c>
      <c r="J4" s="9" t="str">
        <v>US$</v>
      </c>
      <c r="K4" s="9" t="str">
        <v>Costo Fruta</v>
      </c>
      <c r="L4" s="9" t="str">
        <v>US$</v>
      </c>
      <c r="M4" s="9" t="str">
        <v>Materiales</v>
      </c>
      <c r="N4" s="9" t="str">
        <v>US$</v>
      </c>
      <c r="O4" s="9" t="str">
        <v>Servicios</v>
      </c>
      <c r="P4" s="9" t="str">
        <v>US$</v>
      </c>
      <c r="Q4" s="9" t="str">
        <v>Liq.Ciruelas</v>
      </c>
      <c r="R4" s="9" t="str">
        <v>US$</v>
      </c>
      <c r="S4" s="9" t="str">
        <v>Rebate</v>
      </c>
      <c r="T4" s="9" t="str">
        <v>US$</v>
      </c>
      <c r="U4" s="9" t="str">
        <v>Arándanos</v>
      </c>
      <c r="V4" s="9" t="str">
        <v>US$</v>
      </c>
      <c r="W4" s="9" t="str">
        <v>Recup.anticipos</v>
      </c>
      <c r="X4" s="9" t="str">
        <v>US$</v>
      </c>
      <c r="Y4" s="9" t="str">
        <v>Devol.anticipos</v>
      </c>
      <c r="Z4" s="9" t="str">
        <v>US$</v>
      </c>
    </row>
    <row r="5">
      <c r="A5" s="35" t="str">
        <v>① CEREZAS — anticipos cliente/productor (acordado · realizado · pendiente), materiales y packing</v>
      </c>
      <c r="B5" s="36" t="str">
        <v/>
      </c>
      <c r="C5" s="36" t="str">
        <v/>
      </c>
      <c r="D5" s="36" t="str">
        <v/>
      </c>
      <c r="E5" s="36" t="str">
        <v/>
      </c>
      <c r="F5" s="36" t="str">
        <v/>
      </c>
      <c r="G5" s="36" t="str">
        <v/>
      </c>
      <c r="H5" s="36" t="str">
        <v/>
      </c>
    </row>
    <row r="6">
      <c r="A6" s="9" t="str">
        <v>Temporada</v>
      </c>
      <c r="B6" s="9" t="str">
        <v>Concepto</v>
      </c>
      <c r="C6" s="9" t="str">
        <v>kg</v>
      </c>
      <c r="D6" s="9" t="str">
        <v>FOB/US$·pct</v>
      </c>
      <c r="E6" s="9" t="str">
        <v>desc%</v>
      </c>
      <c r="F6" s="9" t="str">
        <v>matUSD</v>
      </c>
      <c r="G6" s="9" t="str">
        <v>srvUSD</v>
      </c>
    </row>
    <row r="8">
      <c r="A8" s="36" t="str">
        <v>② CIRUELAS — anticipos cliente (acordado · realizado · pendiente) + liquidación</v>
      </c>
      <c r="B8" s="36" t="str">
        <v/>
      </c>
      <c r="C8" s="36" t="str">
        <v/>
      </c>
      <c r="D8" s="36" t="str">
        <v/>
      </c>
      <c r="E8" s="36" t="str">
        <v/>
      </c>
      <c r="F8" s="36" t="str">
        <v/>
      </c>
      <c r="G8" s="36" t="str">
        <v/>
      </c>
      <c r="H8" s="36" t="str">
        <v/>
      </c>
    </row>
    <row r="9">
      <c r="A9" s="9" t="str">
        <v>Temporada</v>
      </c>
      <c r="B9" s="9" t="str">
        <v>Concepto</v>
      </c>
      <c r="C9" s="9" t="str">
        <v>kg</v>
      </c>
      <c r="D9" s="9" t="str">
        <v>FOB / US$·kg</v>
      </c>
      <c r="E9" s="9" t="str">
        <v>—</v>
      </c>
      <c r="F9" s="9" t="str">
        <v>—</v>
      </c>
      <c r="G9" s="9" t="str">
        <v>—</v>
      </c>
    </row>
    <row r="11">
      <c r="A11" s="36" t="str">
        <v>③ REBATE EXPORTACIÓN (cobro diferido)</v>
      </c>
      <c r="B11" s="36" t="str">
        <v/>
      </c>
      <c r="C11" s="36" t="str">
        <v/>
      </c>
      <c r="D11" s="36" t="str">
        <v/>
      </c>
      <c r="E11" s="36" t="str">
        <v/>
      </c>
      <c r="F11" s="36" t="str">
        <v/>
      </c>
      <c r="G11" s="36" t="str">
        <v/>
      </c>
      <c r="H11" s="36" t="str">
        <v/>
      </c>
    </row>
    <row r="12">
      <c r="A12" s="9" t="str">
        <v>Temporada</v>
      </c>
      <c r="B12" s="9" t="str">
        <v>Concepto</v>
      </c>
      <c r="C12" s="9" t="str">
        <v>US$/kg</v>
      </c>
      <c r="D12" s="9" t="str">
        <v>%kilos</v>
      </c>
      <c r="E12" s="9" t="str">
        <v>Total</v>
      </c>
      <c r="F12" s="9" t="str">
        <v>%pago</v>
      </c>
      <c r="G12" s="9" t="str">
        <v/>
      </c>
    </row>
    <row r="14">
      <c r="A14" s="36" t="str">
        <v>④ ARÁNDANOS PERÚ (comisión comercialización)</v>
      </c>
      <c r="B14" s="36" t="str">
        <v/>
      </c>
      <c r="C14" s="36" t="str">
        <v/>
      </c>
      <c r="D14" s="36" t="str">
        <v/>
      </c>
      <c r="E14" s="36" t="str">
        <v/>
      </c>
      <c r="F14" s="36" t="str">
        <v/>
      </c>
      <c r="G14" s="36" t="str">
        <v/>
      </c>
      <c r="H14" s="36" t="str">
        <v/>
      </c>
    </row>
    <row r="15">
      <c r="A15" s="9" t="str">
        <v>Cobro</v>
      </c>
      <c r="B15" s="9" t="str">
        <v>kg</v>
      </c>
      <c r="C15" s="9" t="str">
        <v>FOB o US$/kg</v>
      </c>
      <c r="D15" s="9" t="str">
        <v>fee%</v>
      </c>
      <c r="E15" s="9" t="str">
        <v>Total</v>
      </c>
      <c r="F15" s="9" t="str">
        <v>%pago</v>
      </c>
      <c r="G15" s="9" t="str">
        <v/>
      </c>
    </row>
  </sheetData>
  <mergeCells count="6">
    <mergeCell ref="A1:H1"/>
    <mergeCell ref="A2:H2"/>
    <mergeCell ref="A5:H5"/>
    <mergeCell ref="A8:H8"/>
    <mergeCell ref="A11:H11"/>
    <mergeCell ref="A14:H14"/>
  </mergeCells>
  <ignoredErrors>
    <ignoredError numberStoredAsText="1" sqref="A1:Z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M14"/>
  <sheetViews>
    <sheetView workbookViewId="0" rightToLeft="0"/>
  </sheetViews>
  <cols>
    <col min="1" max="1" width="52.83203125" customWidth="1"/>
    <col min="2" max="2" width="12.33203125" customWidth="1"/>
    <col min="3" max="3" width="12.33203125" customWidth="1"/>
    <col min="4" max="4" width="12.33203125" customWidth="1"/>
    <col min="5" max="5" width="12.33203125" customWidth="1"/>
    <col min="6" max="6" width="12.33203125" customWidth="1"/>
    <col min="7" max="7" width="12.33203125" customWidth="1"/>
    <col min="8" max="8" width="12.33203125" customWidth="1"/>
    <col min="9" max="9" width="12.33203125" customWidth="1"/>
    <col min="10" max="10" width="12.33203125" customWidth="1"/>
    <col min="11" max="11" width="12.33203125" customWidth="1"/>
    <col min="12" max="12" width="12.33203125" customWidth="1"/>
    <col min="13" max="13" width="12.33203125" customWidth="1"/>
    <col min="14" max="14" width="12.33203125" customWidth="1"/>
    <col min="15" max="15" width="12.33203125" customWidth="1"/>
    <col min="16" max="16" width="12.33203125" customWidth="1"/>
    <col min="17" max="17" width="12.33203125" customWidth="1"/>
    <col min="18" max="18" width="12.33203125" customWidth="1"/>
    <col min="19" max="19" width="12.33203125" customWidth="1"/>
    <col min="20" max="20" width="12.33203125" customWidth="1"/>
    <col min="21" max="21" width="12.33203125" customWidth="1"/>
    <col min="22" max="22" width="12.33203125" customWidth="1"/>
    <col min="23" max="23" width="12.33203125" customWidth="1"/>
    <col min="24" max="24" width="12.33203125" customWidth="1"/>
    <col min="25" max="25" width="12.33203125" customWidth="1"/>
    <col min="26" max="26" width="12.33203125" customWidth="1"/>
    <col min="27" max="27" width="12.33203125" customWidth="1"/>
    <col min="28" max="28" width="12.33203125" customWidth="1"/>
    <col min="29" max="29" width="12.33203125" customWidth="1"/>
    <col min="30" max="30" width="12.33203125" customWidth="1"/>
    <col min="31" max="31" width="12.33203125" customWidth="1"/>
    <col min="32" max="32" width="12.33203125" customWidth="1"/>
    <col min="33" max="33" width="12.33203125" customWidth="1"/>
    <col min="34" max="34" width="12.33203125" customWidth="1"/>
    <col min="35" max="35" width="12.33203125" customWidth="1"/>
    <col min="36" max="36" width="12.33203125" customWidth="1"/>
    <col min="37" max="37" width="12.33203125" customWidth="1"/>
    <col min="38" max="38" width="12.33203125" customWidth="1"/>
    <col min="39" max="39" width="12.33203125" customWidth="1"/>
    <col min="40" max="40" width="12.33203125" customWidth="1"/>
    <col min="41" max="41" width="12.33203125" customWidth="1"/>
    <col min="42" max="42" width="12.33203125" customWidth="1"/>
    <col min="43" max="43" width="12.33203125" customWidth="1"/>
    <col min="44" max="44" width="12.33203125" customWidth="1"/>
    <col min="45" max="45" width="12.33203125" customWidth="1"/>
    <col min="46" max="46" width="12.33203125" customWidth="1"/>
    <col min="47" max="47" width="12.33203125" customWidth="1"/>
    <col min="48" max="48" width="12.33203125" customWidth="1"/>
    <col min="49" max="49" width="12.33203125" customWidth="1"/>
    <col min="50" max="50" width="12.33203125" customWidth="1"/>
    <col min="51" max="51" width="12.33203125" customWidth="1"/>
    <col min="52" max="52" width="12.33203125" customWidth="1"/>
    <col min="53" max="53" width="12.33203125" customWidth="1"/>
    <col min="54" max="54" width="12.33203125" customWidth="1"/>
    <col min="55" max="55" width="12.33203125" customWidth="1"/>
    <col min="56" max="56" width="12.33203125" customWidth="1"/>
    <col min="57" max="57" width="12.33203125" customWidth="1"/>
    <col min="58" max="58" width="12.33203125" customWidth="1"/>
    <col min="59" max="59" width="12.33203125" customWidth="1"/>
    <col min="60" max="60" width="12.33203125" customWidth="1"/>
    <col min="61" max="61" width="12.33203125" customWidth="1"/>
    <col min="62" max="62" width="12.33203125" customWidth="1"/>
    <col min="63" max="63" width="12.33203125" customWidth="1"/>
    <col min="64" max="64" width="12.33203125" customWidth="1"/>
    <col min="65" max="65" width="13.83203125" customWidth="1"/>
  </cols>
  <sheetData>
    <row r="1">
      <c r="A1" s="32" t="str">
        <v>Servicio de deuda — Allegria Foods (desglose de Pago Préstamos + Renovaciones)</v>
      </c>
      <c r="B1" s="32" t="str">
        <v/>
      </c>
      <c r="C1" s="32" t="str">
        <v/>
      </c>
      <c r="D1" s="32" t="str">
        <v/>
      </c>
      <c r="E1" s="32" t="str">
        <v/>
      </c>
      <c r="F1" s="32" t="str">
        <v/>
      </c>
      <c r="G1" s="32" t="str">
        <v/>
      </c>
      <c r="H1" s="32" t="str">
        <v/>
      </c>
      <c r="I1" s="32" t="str">
        <v/>
      </c>
      <c r="J1" s="32" t="str">
        <v/>
      </c>
      <c r="K1" s="32" t="str">
        <v/>
      </c>
      <c r="L1" s="32" t="str">
        <v/>
      </c>
      <c r="M1" s="32" t="str">
        <v/>
      </c>
      <c r="N1" s="32" t="str">
        <v/>
      </c>
      <c r="O1" s="32" t="str">
        <v/>
      </c>
      <c r="P1" s="32" t="str">
        <v/>
      </c>
      <c r="Q1" s="32" t="str">
        <v/>
      </c>
      <c r="R1" s="32" t="str">
        <v/>
      </c>
      <c r="S1" s="32" t="str">
        <v/>
      </c>
      <c r="T1" s="32" t="str">
        <v/>
      </c>
      <c r="U1" s="32" t="str">
        <v/>
      </c>
      <c r="V1" s="32" t="str">
        <v/>
      </c>
      <c r="W1" s="32" t="str">
        <v/>
      </c>
      <c r="X1" s="32" t="str">
        <v/>
      </c>
      <c r="Y1" s="32" t="str">
        <v/>
      </c>
      <c r="Z1" s="32" t="str">
        <v/>
      </c>
      <c r="AA1" s="32" t="str">
        <v/>
      </c>
      <c r="AB1" s="32" t="str">
        <v/>
      </c>
      <c r="AC1" s="32" t="str">
        <v/>
      </c>
      <c r="AD1" s="32" t="str">
        <v/>
      </c>
      <c r="AE1" s="32" t="str">
        <v/>
      </c>
      <c r="AF1" s="32" t="str">
        <v/>
      </c>
      <c r="AG1" s="32" t="str">
        <v/>
      </c>
      <c r="AH1" s="32" t="str">
        <v/>
      </c>
      <c r="AI1" s="32" t="str">
        <v/>
      </c>
      <c r="AJ1" s="32" t="str">
        <v/>
      </c>
      <c r="AK1" s="32" t="str">
        <v/>
      </c>
      <c r="AL1" s="32" t="str">
        <v/>
      </c>
      <c r="AM1" s="32" t="str">
        <v/>
      </c>
      <c r="AN1" s="32" t="str">
        <v/>
      </c>
      <c r="AO1" s="32" t="str">
        <v/>
      </c>
      <c r="AP1" s="32" t="str">
        <v/>
      </c>
      <c r="AQ1" s="32" t="str">
        <v/>
      </c>
      <c r="AR1" s="32" t="str">
        <v/>
      </c>
      <c r="AS1" s="32" t="str">
        <v/>
      </c>
      <c r="AT1" s="32" t="str">
        <v/>
      </c>
      <c r="AU1" s="32" t="str">
        <v/>
      </c>
      <c r="AV1" s="32" t="str">
        <v/>
      </c>
      <c r="AW1" s="32" t="str">
        <v/>
      </c>
      <c r="AX1" s="32" t="str">
        <v/>
      </c>
      <c r="AY1" s="32" t="str">
        <v/>
      </c>
      <c r="AZ1" s="32" t="str">
        <v/>
      </c>
      <c r="BA1" s="32" t="str">
        <v/>
      </c>
      <c r="BB1" s="32" t="str">
        <v/>
      </c>
      <c r="BC1" s="32" t="str">
        <v/>
      </c>
      <c r="BD1" s="32" t="str">
        <v/>
      </c>
      <c r="BE1" s="32" t="str">
        <v/>
      </c>
      <c r="BF1" s="32" t="str">
        <v/>
      </c>
      <c r="BG1" s="32" t="str">
        <v/>
      </c>
      <c r="BH1" s="32" t="str">
        <v/>
      </c>
      <c r="BI1" s="32" t="str">
        <v/>
      </c>
      <c r="BJ1" s="32" t="str">
        <v/>
      </c>
      <c r="BK1" s="32" t="str">
        <v/>
      </c>
      <c r="BL1" s="32" t="str">
        <v/>
      </c>
      <c r="BM1" s="32" t="str">
        <v/>
      </c>
    </row>
    <row r="2">
      <c r="A2" s="37" t="str">
        <v>Total servicio de deuda = capital + intereses + otros cargos + cuotas sin desglosar (cada componente se suma una sola vez). Las cuotas por conciliar NO están en el flujo.</v>
      </c>
    </row>
    <row r="3">
      <c r="A3" s="38" t="str">
        <v>Concepto</v>
      </c>
      <c r="B3" s="10" t="str">
        <v>Apr-26</v>
      </c>
      <c r="C3" s="10" t="str">
        <v>May-26</v>
      </c>
      <c r="D3" s="10" t="str">
        <v>Jun-26</v>
      </c>
      <c r="E3" s="10" t="str">
        <v>Jul-26</v>
      </c>
      <c r="F3" s="10" t="str">
        <v>Aug-26</v>
      </c>
      <c r="G3" s="10" t="str">
        <v>Sep-26</v>
      </c>
      <c r="H3" s="10" t="str">
        <v>Oct-26</v>
      </c>
      <c r="I3" s="10" t="str">
        <v>Nov-26</v>
      </c>
      <c r="J3" s="10" t="str">
        <v>Dec-26</v>
      </c>
      <c r="K3" s="10" t="str">
        <v>Jan-27</v>
      </c>
      <c r="L3" s="10" t="str">
        <v>Feb-27</v>
      </c>
      <c r="M3" s="10" t="str">
        <v>Mar-27</v>
      </c>
      <c r="N3" s="10" t="str">
        <v>Apr-27</v>
      </c>
      <c r="O3" s="10" t="str">
        <v>May-27</v>
      </c>
      <c r="P3" s="10" t="str">
        <v>Jun-27</v>
      </c>
      <c r="Q3" s="10" t="str">
        <v>Jul-27</v>
      </c>
      <c r="R3" s="10" t="str">
        <v>Aug-27</v>
      </c>
      <c r="S3" s="10" t="str">
        <v>Sep-27</v>
      </c>
      <c r="T3" s="10" t="str">
        <v>Oct-27</v>
      </c>
      <c r="U3" s="10" t="str">
        <v>Nov-27</v>
      </c>
      <c r="V3" s="10" t="str">
        <v>Dec-27</v>
      </c>
      <c r="W3" s="10" t="str">
        <v>Jan-28</v>
      </c>
      <c r="X3" s="10" t="str">
        <v>Feb-28</v>
      </c>
      <c r="Y3" s="10" t="str">
        <v>Mar-28</v>
      </c>
      <c r="Z3" s="10" t="str">
        <v>Apr-28</v>
      </c>
      <c r="AA3" s="10" t="str">
        <v>May-28</v>
      </c>
      <c r="AB3" s="10" t="str">
        <v>Jun-28</v>
      </c>
      <c r="AC3" s="10" t="str">
        <v>Jul-28</v>
      </c>
      <c r="AD3" s="10" t="str">
        <v>Aug-28</v>
      </c>
      <c r="AE3" s="10" t="str">
        <v>Sep-28</v>
      </c>
      <c r="AF3" s="10" t="str">
        <v>Oct-28</v>
      </c>
      <c r="AG3" s="10" t="str">
        <v>Nov-28</v>
      </c>
      <c r="AH3" s="10" t="str">
        <v>Dec-28</v>
      </c>
      <c r="AI3" s="10" t="str">
        <v>Jan-29</v>
      </c>
      <c r="AJ3" s="10" t="str">
        <v>Feb-29</v>
      </c>
      <c r="AK3" s="10" t="str">
        <v>Mar-29</v>
      </c>
      <c r="AL3" s="10" t="str">
        <v>Apr-29</v>
      </c>
      <c r="AM3" s="10" t="str">
        <v>May-29</v>
      </c>
      <c r="AN3" s="10" t="str">
        <v>Jun-29</v>
      </c>
      <c r="AO3" s="10" t="str">
        <v>Jul-29</v>
      </c>
      <c r="AP3" s="10" t="str">
        <v>Aug-29</v>
      </c>
      <c r="AQ3" s="10" t="str">
        <v>Sep-29</v>
      </c>
      <c r="AR3" s="10" t="str">
        <v>Oct-29</v>
      </c>
      <c r="AS3" s="10" t="str">
        <v>Nov-29</v>
      </c>
      <c r="AT3" s="10" t="str">
        <v>Dec-29</v>
      </c>
      <c r="AU3" s="10" t="str">
        <v>Jan-30</v>
      </c>
      <c r="AV3" s="10" t="str">
        <v>Feb-30</v>
      </c>
      <c r="AW3" s="10" t="str">
        <v>Mar-30</v>
      </c>
      <c r="AX3" s="10" t="str">
        <v>Apr-30</v>
      </c>
      <c r="AY3" s="10" t="str">
        <v>May-30</v>
      </c>
      <c r="AZ3" s="10" t="str">
        <v>Jun-30</v>
      </c>
      <c r="BA3" s="10" t="str">
        <v>Jul-30</v>
      </c>
      <c r="BB3" s="10" t="str">
        <v>Aug-30</v>
      </c>
      <c r="BC3" s="10" t="str">
        <v>Sep-30</v>
      </c>
      <c r="BD3" s="10" t="str">
        <v>Oct-30</v>
      </c>
      <c r="BE3" s="10" t="str">
        <v>Nov-30</v>
      </c>
      <c r="BF3" s="10" t="str">
        <v>Dec-30</v>
      </c>
      <c r="BG3" s="10" t="str">
        <v>Jan-31</v>
      </c>
      <c r="BH3" s="10" t="str">
        <v>Feb-31</v>
      </c>
      <c r="BI3" s="10" t="str">
        <v>Mar-31</v>
      </c>
      <c r="BJ3" s="10" t="str">
        <v>Apr-31</v>
      </c>
      <c r="BK3" s="10" t="str">
        <v>May-31</v>
      </c>
      <c r="BL3" s="10" t="str">
        <v>Jun-31</v>
      </c>
      <c r="BM3" s="10" t="str">
        <v>Total</v>
      </c>
    </row>
    <row r="5">
      <c r="A5" s="39" t="str">
        <v>Allegria Foods</v>
      </c>
      <c r="B5" s="40" t="str">
        <v/>
      </c>
      <c r="C5" s="40" t="str">
        <v/>
      </c>
      <c r="D5" s="40" t="str">
        <v/>
      </c>
      <c r="E5" s="40" t="str">
        <v/>
      </c>
      <c r="F5" s="40" t="str">
        <v/>
      </c>
      <c r="G5" s="40" t="str">
        <v/>
      </c>
      <c r="H5" s="40" t="str">
        <v/>
      </c>
      <c r="I5" s="40" t="str">
        <v/>
      </c>
      <c r="J5" s="40" t="str">
        <v/>
      </c>
      <c r="K5" s="40" t="str">
        <v/>
      </c>
      <c r="L5" s="40" t="str">
        <v/>
      </c>
      <c r="M5" s="40" t="str">
        <v/>
      </c>
      <c r="N5" s="40" t="str">
        <v/>
      </c>
      <c r="O5" s="40" t="str">
        <v/>
      </c>
      <c r="P5" s="40" t="str">
        <v/>
      </c>
      <c r="Q5" s="40" t="str">
        <v/>
      </c>
      <c r="R5" s="40" t="str">
        <v/>
      </c>
      <c r="S5" s="40" t="str">
        <v/>
      </c>
      <c r="T5" s="40" t="str">
        <v/>
      </c>
      <c r="U5" s="40" t="str">
        <v/>
      </c>
      <c r="V5" s="40" t="str">
        <v/>
      </c>
      <c r="W5" s="40" t="str">
        <v/>
      </c>
      <c r="X5" s="40" t="str">
        <v/>
      </c>
      <c r="Y5" s="40" t="str">
        <v/>
      </c>
      <c r="Z5" s="40" t="str">
        <v/>
      </c>
      <c r="AA5" s="40" t="str">
        <v/>
      </c>
      <c r="AB5" s="40" t="str">
        <v/>
      </c>
      <c r="AC5" s="40" t="str">
        <v/>
      </c>
      <c r="AD5" s="40" t="str">
        <v/>
      </c>
      <c r="AE5" s="40" t="str">
        <v/>
      </c>
      <c r="AF5" s="40" t="str">
        <v/>
      </c>
      <c r="AG5" s="40" t="str">
        <v/>
      </c>
      <c r="AH5" s="40" t="str">
        <v/>
      </c>
      <c r="AI5" s="40" t="str">
        <v/>
      </c>
      <c r="AJ5" s="40" t="str">
        <v/>
      </c>
      <c r="AK5" s="40" t="str">
        <v/>
      </c>
      <c r="AL5" s="40" t="str">
        <v/>
      </c>
      <c r="AM5" s="40" t="str">
        <v/>
      </c>
      <c r="AN5" s="40" t="str">
        <v/>
      </c>
      <c r="AO5" s="40" t="str">
        <v/>
      </c>
      <c r="AP5" s="40" t="str">
        <v/>
      </c>
      <c r="AQ5" s="40" t="str">
        <v/>
      </c>
      <c r="AR5" s="40" t="str">
        <v/>
      </c>
      <c r="AS5" s="40" t="str">
        <v/>
      </c>
      <c r="AT5" s="40" t="str">
        <v/>
      </c>
      <c r="AU5" s="40" t="str">
        <v/>
      </c>
      <c r="AV5" s="40" t="str">
        <v/>
      </c>
      <c r="AW5" s="40" t="str">
        <v/>
      </c>
      <c r="AX5" s="40" t="str">
        <v/>
      </c>
      <c r="AY5" s="40" t="str">
        <v/>
      </c>
      <c r="AZ5" s="40" t="str">
        <v/>
      </c>
      <c r="BA5" s="40" t="str">
        <v/>
      </c>
      <c r="BB5" s="40" t="str">
        <v/>
      </c>
      <c r="BC5" s="40" t="str">
        <v/>
      </c>
      <c r="BD5" s="40" t="str">
        <v/>
      </c>
      <c r="BE5" s="40" t="str">
        <v/>
      </c>
      <c r="BF5" s="40" t="str">
        <v/>
      </c>
      <c r="BG5" s="40" t="str">
        <v/>
      </c>
      <c r="BH5" s="40" t="str">
        <v/>
      </c>
      <c r="BI5" s="40" t="str">
        <v/>
      </c>
      <c r="BJ5" s="40" t="str">
        <v/>
      </c>
      <c r="BK5" s="40" t="str">
        <v/>
      </c>
      <c r="BL5" s="40" t="str">
        <v/>
      </c>
      <c r="BM5" s="40" t="str">
        <v/>
      </c>
    </row>
    <row r="6">
      <c r="A6" s="21" t="str">
        <v>Capital</v>
      </c>
      <c r="B6" s="41">
        <v>0</v>
      </c>
      <c r="C6" s="41">
        <v>0</v>
      </c>
      <c r="D6" s="41">
        <v>0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41">
        <v>0</v>
      </c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  <c r="AE6" s="41">
        <v>0</v>
      </c>
      <c r="AF6" s="41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S6" s="41">
        <v>0</v>
      </c>
      <c r="AT6" s="41">
        <v>0</v>
      </c>
      <c r="AU6" s="41">
        <v>0</v>
      </c>
      <c r="AV6" s="41">
        <v>0</v>
      </c>
      <c r="AW6" s="41">
        <v>0</v>
      </c>
      <c r="AX6" s="41">
        <v>0</v>
      </c>
      <c r="AY6" s="41">
        <v>0</v>
      </c>
      <c r="AZ6" s="41">
        <v>0</v>
      </c>
      <c r="BA6" s="41">
        <v>0</v>
      </c>
      <c r="BB6" s="41">
        <v>0</v>
      </c>
      <c r="BC6" s="41">
        <v>0</v>
      </c>
      <c r="BD6" s="41">
        <v>0</v>
      </c>
      <c r="BE6" s="41">
        <v>0</v>
      </c>
      <c r="BF6" s="41">
        <v>0</v>
      </c>
      <c r="BG6" s="41">
        <v>0</v>
      </c>
      <c r="BH6" s="41">
        <v>0</v>
      </c>
      <c r="BI6" s="41">
        <v>0</v>
      </c>
      <c r="BJ6" s="41">
        <v>0</v>
      </c>
      <c r="BK6" s="41">
        <v>0</v>
      </c>
      <c r="BL6" s="41">
        <v>0</v>
      </c>
      <c r="BM6" s="13">
        <f>SUM(B6:BL6)</f>
        <v>0</v>
      </c>
    </row>
    <row r="7">
      <c r="A7" s="21" t="str">
        <v>Intereses</v>
      </c>
      <c r="B7" s="41">
        <v>0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  <c r="AT7" s="41">
        <v>0</v>
      </c>
      <c r="AU7" s="41">
        <v>0</v>
      </c>
      <c r="AV7" s="41">
        <v>0</v>
      </c>
      <c r="AW7" s="41">
        <v>0</v>
      </c>
      <c r="AX7" s="41">
        <v>0</v>
      </c>
      <c r="AY7" s="41">
        <v>0</v>
      </c>
      <c r="AZ7" s="41">
        <v>0</v>
      </c>
      <c r="BA7" s="41">
        <v>0</v>
      </c>
      <c r="BB7" s="41">
        <v>0</v>
      </c>
      <c r="BC7" s="41">
        <v>0</v>
      </c>
      <c r="BD7" s="41">
        <v>0</v>
      </c>
      <c r="BE7" s="41">
        <v>0</v>
      </c>
      <c r="BF7" s="41">
        <v>0</v>
      </c>
      <c r="BG7" s="41">
        <v>0</v>
      </c>
      <c r="BH7" s="41">
        <v>0</v>
      </c>
      <c r="BI7" s="41">
        <v>0</v>
      </c>
      <c r="BJ7" s="41">
        <v>0</v>
      </c>
      <c r="BK7" s="41">
        <v>0</v>
      </c>
      <c r="BL7" s="41">
        <v>0</v>
      </c>
      <c r="BM7" s="13">
        <f>SUM(B7:BL7)</f>
        <v>0</v>
      </c>
    </row>
    <row r="8">
      <c r="A8" s="21" t="str">
        <v>Otros cargos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  <c r="AT8" s="41">
        <v>0</v>
      </c>
      <c r="AU8" s="41">
        <v>0</v>
      </c>
      <c r="AV8" s="41">
        <v>0</v>
      </c>
      <c r="AW8" s="41">
        <v>0</v>
      </c>
      <c r="AX8" s="41">
        <v>0</v>
      </c>
      <c r="AY8" s="41">
        <v>0</v>
      </c>
      <c r="AZ8" s="41">
        <v>0</v>
      </c>
      <c r="BA8" s="41">
        <v>0</v>
      </c>
      <c r="BB8" s="41">
        <v>0</v>
      </c>
      <c r="BC8" s="41">
        <v>0</v>
      </c>
      <c r="BD8" s="41">
        <v>0</v>
      </c>
      <c r="BE8" s="41">
        <v>0</v>
      </c>
      <c r="BF8" s="41">
        <v>0</v>
      </c>
      <c r="BG8" s="41">
        <v>0</v>
      </c>
      <c r="BH8" s="41">
        <v>0</v>
      </c>
      <c r="BI8" s="41">
        <v>0</v>
      </c>
      <c r="BJ8" s="41">
        <v>0</v>
      </c>
      <c r="BK8" s="41">
        <v>0</v>
      </c>
      <c r="BL8" s="41">
        <v>0</v>
      </c>
      <c r="BM8" s="13">
        <f>SUM(B8:BL8)</f>
        <v>0</v>
      </c>
    </row>
    <row r="9">
      <c r="A9" s="21" t="str">
        <v>Cuotas sin desglosar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41">
        <v>0</v>
      </c>
      <c r="AI9" s="41">
        <v>0</v>
      </c>
      <c r="AJ9" s="41">
        <v>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41">
        <v>0</v>
      </c>
      <c r="AQ9" s="41">
        <v>0</v>
      </c>
      <c r="AR9" s="41">
        <v>0</v>
      </c>
      <c r="AS9" s="41">
        <v>0</v>
      </c>
      <c r="AT9" s="41">
        <v>0</v>
      </c>
      <c r="AU9" s="41">
        <v>0</v>
      </c>
      <c r="AV9" s="41">
        <v>0</v>
      </c>
      <c r="AW9" s="41">
        <v>0</v>
      </c>
      <c r="AX9" s="41">
        <v>0</v>
      </c>
      <c r="AY9" s="41">
        <v>0</v>
      </c>
      <c r="AZ9" s="41">
        <v>0</v>
      </c>
      <c r="BA9" s="41">
        <v>0</v>
      </c>
      <c r="BB9" s="41">
        <v>0</v>
      </c>
      <c r="BC9" s="41">
        <v>0</v>
      </c>
      <c r="BD9" s="41">
        <v>0</v>
      </c>
      <c r="BE9" s="41">
        <v>0</v>
      </c>
      <c r="BF9" s="41">
        <v>0</v>
      </c>
      <c r="BG9" s="41">
        <v>0</v>
      </c>
      <c r="BH9" s="41">
        <v>0</v>
      </c>
      <c r="BI9" s="41">
        <v>0</v>
      </c>
      <c r="BJ9" s="41">
        <v>0</v>
      </c>
      <c r="BK9" s="41">
        <v>0</v>
      </c>
      <c r="BL9" s="41">
        <v>0</v>
      </c>
      <c r="BM9" s="13">
        <f>SUM(B9:BL9)</f>
        <v>0</v>
      </c>
    </row>
    <row r="10">
      <c r="A10" s="24" t="str">
        <v>= Servicio de deuda según Créditos</v>
      </c>
      <c r="B10" s="42">
        <f>SUM(B6:B9)</f>
        <v>0</v>
      </c>
      <c r="C10" s="43">
        <f>SUM(C6:C9)</f>
        <v>0</v>
      </c>
      <c r="D10" s="43">
        <f>SUM(D6:D9)</f>
        <v>0</v>
      </c>
      <c r="E10" s="43">
        <f>SUM(E6:E9)</f>
        <v>0</v>
      </c>
      <c r="F10" s="43">
        <f>SUM(F6:F9)</f>
        <v>0</v>
      </c>
      <c r="G10" s="43">
        <f>SUM(G6:G9)</f>
        <v>0</v>
      </c>
      <c r="H10" s="43">
        <f>SUM(H6:H9)</f>
        <v>0</v>
      </c>
      <c r="I10" s="43">
        <f>SUM(I6:I9)</f>
        <v>0</v>
      </c>
      <c r="J10" s="43">
        <f>SUM(J6:J9)</f>
        <v>0</v>
      </c>
      <c r="K10" s="43">
        <f>SUM(K6:K9)</f>
        <v>0</v>
      </c>
      <c r="L10" s="43">
        <f>SUM(L6:L9)</f>
        <v>0</v>
      </c>
      <c r="M10" s="43">
        <f>SUM(M6:M9)</f>
        <v>0</v>
      </c>
      <c r="N10" s="43">
        <f>SUM(N6:N9)</f>
        <v>0</v>
      </c>
      <c r="O10" s="43">
        <f>SUM(O6:O9)</f>
        <v>0</v>
      </c>
      <c r="P10" s="43">
        <f>SUM(P6:P9)</f>
        <v>0</v>
      </c>
      <c r="Q10" s="43">
        <f>SUM(Q6:Q9)</f>
        <v>0</v>
      </c>
      <c r="R10" s="43">
        <f>SUM(R6:R9)</f>
        <v>0</v>
      </c>
      <c r="S10" s="43">
        <f>SUM(S6:S9)</f>
        <v>0</v>
      </c>
      <c r="T10" s="43">
        <f>SUM(T6:T9)</f>
        <v>0</v>
      </c>
      <c r="U10" s="43">
        <f>SUM(U6:U9)</f>
        <v>0</v>
      </c>
      <c r="V10" s="43">
        <f>SUM(V6:V9)</f>
        <v>0</v>
      </c>
      <c r="W10" s="43">
        <f>SUM(W6:W9)</f>
        <v>0</v>
      </c>
      <c r="X10" s="43">
        <f>SUM(X6:X9)</f>
        <v>0</v>
      </c>
      <c r="Y10" s="43">
        <f>SUM(Y6:Y9)</f>
        <v>0</v>
      </c>
      <c r="Z10" s="43">
        <f>SUM(Z6:Z9)</f>
        <v>0</v>
      </c>
      <c r="AA10" s="43">
        <f>SUM(AA6:AA9)</f>
        <v>0</v>
      </c>
      <c r="AB10" s="43">
        <f>SUM(AB6:AB9)</f>
        <v>0</v>
      </c>
      <c r="AC10" s="43">
        <f>SUM(AC6:AC9)</f>
        <v>0</v>
      </c>
      <c r="AD10" s="43">
        <f>SUM(AD6:AD9)</f>
        <v>0</v>
      </c>
      <c r="AE10" s="43">
        <f>SUM(AE6:AE9)</f>
        <v>0</v>
      </c>
      <c r="AF10" s="43">
        <f>SUM(AF6:AF9)</f>
        <v>0</v>
      </c>
      <c r="AG10" s="43">
        <f>SUM(AG6:AG9)</f>
        <v>0</v>
      </c>
      <c r="AH10" s="43">
        <f>SUM(AH6:AH9)</f>
        <v>0</v>
      </c>
      <c r="AI10" s="43">
        <f>SUM(AI6:AI9)</f>
        <v>0</v>
      </c>
      <c r="AJ10" s="43">
        <f>SUM(AJ6:AJ9)</f>
        <v>0</v>
      </c>
      <c r="AK10" s="43">
        <f>SUM(AK6:AK9)</f>
        <v>0</v>
      </c>
      <c r="AL10" s="43">
        <f>SUM(AL6:AL9)</f>
        <v>0</v>
      </c>
      <c r="AM10" s="43">
        <f>SUM(AM6:AM9)</f>
        <v>0</v>
      </c>
      <c r="AN10" s="43">
        <f>SUM(AN6:AN9)</f>
        <v>0</v>
      </c>
      <c r="AO10" s="43">
        <f>SUM(AO6:AO9)</f>
        <v>0</v>
      </c>
      <c r="AP10" s="43">
        <f>SUM(AP6:AP9)</f>
        <v>0</v>
      </c>
      <c r="AQ10" s="43">
        <f>SUM(AQ6:AQ9)</f>
        <v>0</v>
      </c>
      <c r="AR10" s="43">
        <f>SUM(AR6:AR9)</f>
        <v>0</v>
      </c>
      <c r="AS10" s="43">
        <f>SUM(AS6:AS9)</f>
        <v>0</v>
      </c>
      <c r="AT10" s="43">
        <f>SUM(AT6:AT9)</f>
        <v>0</v>
      </c>
      <c r="AU10" s="43">
        <f>SUM(AU6:AU9)</f>
        <v>0</v>
      </c>
      <c r="AV10" s="43">
        <f>SUM(AV6:AV9)</f>
        <v>0</v>
      </c>
      <c r="AW10" s="43">
        <f>SUM(AW6:AW9)</f>
        <v>0</v>
      </c>
      <c r="AX10" s="43">
        <f>SUM(AX6:AX9)</f>
        <v>0</v>
      </c>
      <c r="AY10" s="43">
        <f>SUM(AY6:AY9)</f>
        <v>0</v>
      </c>
      <c r="AZ10" s="43">
        <f>SUM(AZ6:AZ9)</f>
        <v>0</v>
      </c>
      <c r="BA10" s="43">
        <f>SUM(BA6:BA9)</f>
        <v>0</v>
      </c>
      <c r="BB10" s="43">
        <f>SUM(BB6:BB9)</f>
        <v>0</v>
      </c>
      <c r="BC10" s="43">
        <f>SUM(BC6:BC9)</f>
        <v>0</v>
      </c>
      <c r="BD10" s="43">
        <f>SUM(BD6:BD9)</f>
        <v>0</v>
      </c>
      <c r="BE10" s="43">
        <f>SUM(BE6:BE9)</f>
        <v>0</v>
      </c>
      <c r="BF10" s="43">
        <f>SUM(BF6:BF9)</f>
        <v>0</v>
      </c>
      <c r="BG10" s="43">
        <f>SUM(BG6:BG9)</f>
        <v>0</v>
      </c>
      <c r="BH10" s="43">
        <f>SUM(BH6:BH9)</f>
        <v>0</v>
      </c>
      <c r="BI10" s="43">
        <f>SUM(BI6:BI9)</f>
        <v>0</v>
      </c>
      <c r="BJ10" s="43">
        <f>SUM(BJ6:BJ9)</f>
        <v>0</v>
      </c>
      <c r="BK10" s="43">
        <f>SUM(BK6:BK9)</f>
        <v>0</v>
      </c>
      <c r="BL10" s="43">
        <f>SUM(BL6:BL9)</f>
        <v>0</v>
      </c>
      <c r="BM10" s="13">
        <f>SUM(B10:BL10)</f>
      </c>
    </row>
    <row r="11">
      <c r="A11" s="21" t="str">
        <v>Ajuste: valor manual vigente (flujo − Créditos)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  <c r="AT11" s="41">
        <v>0</v>
      </c>
      <c r="AU11" s="41">
        <v>0</v>
      </c>
      <c r="AV11" s="41">
        <v>0</v>
      </c>
      <c r="AW11" s="41">
        <v>0</v>
      </c>
      <c r="AX11" s="41">
        <v>0</v>
      </c>
      <c r="AY11" s="41">
        <v>0</v>
      </c>
      <c r="AZ11" s="41">
        <v>0</v>
      </c>
      <c r="BA11" s="41">
        <v>0</v>
      </c>
      <c r="BB11" s="41">
        <v>0</v>
      </c>
      <c r="BC11" s="41">
        <v>0</v>
      </c>
      <c r="BD11" s="41">
        <v>0</v>
      </c>
      <c r="BE11" s="41">
        <v>0</v>
      </c>
      <c r="BF11" s="41">
        <v>0</v>
      </c>
      <c r="BG11" s="41">
        <v>0</v>
      </c>
      <c r="BH11" s="41">
        <v>0</v>
      </c>
      <c r="BI11" s="41">
        <v>0</v>
      </c>
      <c r="BJ11" s="41">
        <v>0</v>
      </c>
      <c r="BK11" s="41">
        <v>0</v>
      </c>
      <c r="BL11" s="41">
        <v>0</v>
      </c>
      <c r="BM11" s="13">
        <f>SUM(B11:BL11)</f>
        <v>0</v>
      </c>
    </row>
    <row r="12">
      <c r="A12" s="24" t="str">
        <v>= Pago Préstamos + Renovaciones en el flujo</v>
      </c>
      <c r="B12" s="43">
        <f>B10+B11</f>
        <v>0</v>
      </c>
      <c r="C12" s="43">
        <f>C10+C11</f>
        <v>0</v>
      </c>
      <c r="D12" s="43">
        <f>D10+D11</f>
        <v>0</v>
      </c>
      <c r="E12" s="43">
        <f>E10+E11</f>
        <v>0</v>
      </c>
      <c r="F12" s="43">
        <f>F10+F11</f>
        <v>0</v>
      </c>
      <c r="G12" s="43">
        <f>G10+G11</f>
        <v>0</v>
      </c>
      <c r="H12" s="43">
        <f>H10+H11</f>
        <v>0</v>
      </c>
      <c r="I12" s="43">
        <f>I10+I11</f>
        <v>0</v>
      </c>
      <c r="J12" s="43">
        <f>J10+J11</f>
        <v>0</v>
      </c>
      <c r="K12" s="43">
        <f>K10+K11</f>
        <v>0</v>
      </c>
      <c r="L12" s="43">
        <f>L10+L11</f>
        <v>0</v>
      </c>
      <c r="M12" s="43">
        <f>M10+M11</f>
        <v>0</v>
      </c>
      <c r="N12" s="43">
        <f>N10+N11</f>
        <v>0</v>
      </c>
      <c r="O12" s="43">
        <f>O10+O11</f>
        <v>0</v>
      </c>
      <c r="P12" s="43">
        <f>P10+P11</f>
        <v>0</v>
      </c>
      <c r="Q12" s="43">
        <f>Q10+Q11</f>
        <v>0</v>
      </c>
      <c r="R12" s="43">
        <f>R10+R11</f>
        <v>0</v>
      </c>
      <c r="S12" s="43">
        <f>S10+S11</f>
        <v>0</v>
      </c>
      <c r="T12" s="43">
        <f>T10+T11</f>
        <v>0</v>
      </c>
      <c r="U12" s="43">
        <f>U10+U11</f>
        <v>0</v>
      </c>
      <c r="V12" s="43">
        <f>V10+V11</f>
        <v>0</v>
      </c>
      <c r="W12" s="43">
        <f>W10+W11</f>
        <v>0</v>
      </c>
      <c r="X12" s="43">
        <f>X10+X11</f>
        <v>0</v>
      </c>
      <c r="Y12" s="43">
        <f>Y10+Y11</f>
        <v>0</v>
      </c>
      <c r="Z12" s="43">
        <f>Z10+Z11</f>
        <v>0</v>
      </c>
      <c r="AA12" s="43">
        <f>AA10+AA11</f>
        <v>0</v>
      </c>
      <c r="AB12" s="43">
        <f>AB10+AB11</f>
        <v>0</v>
      </c>
      <c r="AC12" s="43">
        <f>AC10+AC11</f>
        <v>0</v>
      </c>
      <c r="AD12" s="43">
        <f>AD10+AD11</f>
        <v>0</v>
      </c>
      <c r="AE12" s="43">
        <f>AE10+AE11</f>
        <v>0</v>
      </c>
      <c r="AF12" s="43">
        <f>AF10+AF11</f>
        <v>0</v>
      </c>
      <c r="AG12" s="43">
        <f>AG10+AG11</f>
        <v>0</v>
      </c>
      <c r="AH12" s="43">
        <f>AH10+AH11</f>
        <v>0</v>
      </c>
      <c r="AI12" s="43">
        <f>AI10+AI11</f>
        <v>0</v>
      </c>
      <c r="AJ12" s="43">
        <f>AJ10+AJ11</f>
        <v>0</v>
      </c>
      <c r="AK12" s="43">
        <f>AK10+AK11</f>
        <v>0</v>
      </c>
      <c r="AL12" s="43">
        <f>AL10+AL11</f>
        <v>0</v>
      </c>
      <c r="AM12" s="43">
        <f>AM10+AM11</f>
        <v>0</v>
      </c>
      <c r="AN12" s="43">
        <f>AN10+AN11</f>
        <v>0</v>
      </c>
      <c r="AO12" s="43">
        <f>AO10+AO11</f>
        <v>0</v>
      </c>
      <c r="AP12" s="43">
        <f>AP10+AP11</f>
        <v>0</v>
      </c>
      <c r="AQ12" s="43">
        <f>AQ10+AQ11</f>
        <v>0</v>
      </c>
      <c r="AR12" s="43">
        <f>AR10+AR11</f>
        <v>0</v>
      </c>
      <c r="AS12" s="43">
        <f>AS10+AS11</f>
        <v>0</v>
      </c>
      <c r="AT12" s="43">
        <f>AT10+AT11</f>
        <v>0</v>
      </c>
      <c r="AU12" s="43">
        <f>AU10+AU11</f>
        <v>0</v>
      </c>
      <c r="AV12" s="43">
        <f>AV10+AV11</f>
        <v>0</v>
      </c>
      <c r="AW12" s="43">
        <f>AW10+AW11</f>
        <v>0</v>
      </c>
      <c r="AX12" s="43">
        <f>AX10+AX11</f>
        <v>0</v>
      </c>
      <c r="AY12" s="43">
        <f>AY10+AY11</f>
        <v>0</v>
      </c>
      <c r="AZ12" s="43">
        <f>AZ10+AZ11</f>
        <v>0</v>
      </c>
      <c r="BA12" s="43">
        <f>BA10+BA11</f>
        <v>0</v>
      </c>
      <c r="BB12" s="43">
        <f>BB10+BB11</f>
        <v>0</v>
      </c>
      <c r="BC12" s="43">
        <f>BC10+BC11</f>
        <v>0</v>
      </c>
      <c r="BD12" s="43">
        <f>BD10+BD11</f>
        <v>0</v>
      </c>
      <c r="BE12" s="43">
        <f>BE10+BE11</f>
        <v>0</v>
      </c>
      <c r="BF12" s="43">
        <f>BF10+BF11</f>
        <v>0</v>
      </c>
      <c r="BG12" s="43">
        <f>BG10+BG11</f>
        <v>0</v>
      </c>
      <c r="BH12" s="43">
        <f>BH10+BH11</f>
        <v>0</v>
      </c>
      <c r="BI12" s="43">
        <f>BI10+BI11</f>
        <v>0</v>
      </c>
      <c r="BJ12" s="43">
        <f>BJ10+BJ11</f>
        <v>0</v>
      </c>
      <c r="BK12" s="43">
        <f>BK10+BK11</f>
        <v>0</v>
      </c>
      <c r="BL12" s="43">
        <f>BL10+BL11</f>
        <v>0</v>
      </c>
      <c r="BM12" s="13">
        <f>SUM(B12:BL12)</f>
      </c>
    </row>
    <row r="13">
      <c r="A13" s="21" t="str">
        <v>Control vs hoja del flujo (debe ser 0)</v>
      </c>
      <c r="B13" s="44">
        <f>ROUND(B12-(0),2)</f>
        <v>0</v>
      </c>
      <c r="C13" s="44">
        <f>ROUND(C12-(0),2)</f>
        <v>0</v>
      </c>
      <c r="D13" s="44">
        <f>ROUND(D12-(0),2)</f>
        <v>0</v>
      </c>
      <c r="E13" s="44">
        <f>ROUND(E12-(0),2)</f>
        <v>0</v>
      </c>
      <c r="F13" s="44">
        <f>ROUND(F12-(0),2)</f>
        <v>0</v>
      </c>
      <c r="G13" s="44">
        <f>ROUND(G12-(0),2)</f>
        <v>0</v>
      </c>
      <c r="H13" s="44">
        <f>ROUND(H12-(0),2)</f>
        <v>0</v>
      </c>
      <c r="I13" s="44">
        <f>ROUND(I12-(0),2)</f>
        <v>0</v>
      </c>
      <c r="J13" s="44">
        <f>ROUND(J12-(0),2)</f>
        <v>0</v>
      </c>
      <c r="K13" s="44">
        <f>ROUND(K12-(0),2)</f>
        <v>0</v>
      </c>
      <c r="L13" s="44">
        <f>ROUND(L12-(0),2)</f>
        <v>0</v>
      </c>
      <c r="M13" s="44">
        <f>ROUND(M12-(0),2)</f>
        <v>0</v>
      </c>
      <c r="N13" s="44">
        <f>ROUND(N12-(0),2)</f>
        <v>0</v>
      </c>
      <c r="O13" s="44">
        <f>ROUND(O12-(0),2)</f>
        <v>0</v>
      </c>
      <c r="P13" s="44">
        <f>ROUND(P12-(0),2)</f>
        <v>0</v>
      </c>
      <c r="Q13" s="44">
        <f>ROUND(Q12-(0),2)</f>
        <v>0</v>
      </c>
      <c r="R13" s="44">
        <f>ROUND(R12-(0),2)</f>
        <v>0</v>
      </c>
      <c r="S13" s="44">
        <f>ROUND(S12-(0),2)</f>
        <v>0</v>
      </c>
      <c r="T13" s="44">
        <f>ROUND(T12-(0),2)</f>
        <v>0</v>
      </c>
      <c r="U13" s="44">
        <f>ROUND(U12-(0),2)</f>
        <v>0</v>
      </c>
      <c r="V13" s="44">
        <f>ROUND(V12-(0),2)</f>
        <v>0</v>
      </c>
      <c r="W13" s="44">
        <f>ROUND(W12-(0),2)</f>
        <v>0</v>
      </c>
      <c r="X13" s="44">
        <f>ROUND(X12-(0),2)</f>
        <v>0</v>
      </c>
      <c r="Y13" s="44">
        <f>ROUND(Y12-(0),2)</f>
        <v>0</v>
      </c>
      <c r="Z13" s="44">
        <f>ROUND(Z12-(0),2)</f>
        <v>0</v>
      </c>
      <c r="AA13" s="44">
        <f>ROUND(AA12-(0),2)</f>
        <v>0</v>
      </c>
      <c r="AB13" s="44">
        <f>ROUND(AB12-(0),2)</f>
        <v>0</v>
      </c>
      <c r="AC13" s="44">
        <f>ROUND(AC12-(0),2)</f>
        <v>0</v>
      </c>
      <c r="AD13" s="44">
        <f>ROUND(AD12-(0),2)</f>
        <v>0</v>
      </c>
      <c r="AE13" s="44">
        <f>ROUND(AE12-(0),2)</f>
        <v>0</v>
      </c>
      <c r="AF13" s="44">
        <f>ROUND(AF12-(0),2)</f>
        <v>0</v>
      </c>
      <c r="AG13" s="44">
        <f>ROUND(AG12-(0),2)</f>
        <v>0</v>
      </c>
      <c r="AH13" s="44">
        <f>ROUND(AH12-(0),2)</f>
        <v>0</v>
      </c>
      <c r="AI13" s="44">
        <f>ROUND(AI12-(0),2)</f>
        <v>0</v>
      </c>
      <c r="AJ13" s="44">
        <f>ROUND(AJ12-(0),2)</f>
        <v>0</v>
      </c>
      <c r="AK13" s="44">
        <f>ROUND(AK12-(0),2)</f>
        <v>0</v>
      </c>
      <c r="AL13" s="44">
        <f>ROUND(AL12-(0),2)</f>
        <v>0</v>
      </c>
      <c r="AM13" s="44">
        <f>ROUND(AM12-(0),2)</f>
        <v>0</v>
      </c>
      <c r="AN13" s="44">
        <f>ROUND(AN12-(0),2)</f>
        <v>0</v>
      </c>
      <c r="AO13" s="44">
        <f>ROUND(AO12-(0),2)</f>
        <v>0</v>
      </c>
      <c r="AP13" s="44">
        <f>ROUND(AP12-(0),2)</f>
        <v>0</v>
      </c>
      <c r="AQ13" s="44">
        <f>ROUND(AQ12-(0),2)</f>
        <v>0</v>
      </c>
      <c r="AR13" s="44">
        <f>ROUND(AR12-(0),2)</f>
        <v>0</v>
      </c>
      <c r="AS13" s="44">
        <f>ROUND(AS12-(0),2)</f>
        <v>0</v>
      </c>
      <c r="AT13" s="44">
        <f>ROUND(AT12-(0),2)</f>
        <v>0</v>
      </c>
      <c r="AU13" s="44">
        <f>ROUND(AU12-(0),2)</f>
        <v>0</v>
      </c>
      <c r="AV13" s="44">
        <f>ROUND(AV12-(0),2)</f>
        <v>0</v>
      </c>
      <c r="AW13" s="44">
        <f>ROUND(AW12-(0),2)</f>
        <v>0</v>
      </c>
      <c r="AX13" s="44">
        <f>ROUND(AX12-(0),2)</f>
        <v>0</v>
      </c>
      <c r="AY13" s="44">
        <f>ROUND(AY12-(0),2)</f>
        <v>0</v>
      </c>
      <c r="AZ13" s="44">
        <f>ROUND(AZ12-(0),2)</f>
        <v>0</v>
      </c>
      <c r="BA13" s="44">
        <f>ROUND(BA12-(0),2)</f>
        <v>0</v>
      </c>
      <c r="BB13" s="44">
        <f>ROUND(BB12-(0),2)</f>
        <v>0</v>
      </c>
      <c r="BC13" s="44">
        <f>ROUND(BC12-(0),2)</f>
        <v>0</v>
      </c>
      <c r="BD13" s="44">
        <f>ROUND(BD12-(0),2)</f>
        <v>0</v>
      </c>
      <c r="BE13" s="44">
        <f>ROUND(BE12-(0),2)</f>
        <v>0</v>
      </c>
      <c r="BF13" s="44">
        <f>ROUND(BF12-(0),2)</f>
        <v>0</v>
      </c>
      <c r="BG13" s="44">
        <f>ROUND(BG12-(0),2)</f>
        <v>0</v>
      </c>
      <c r="BH13" s="44">
        <f>ROUND(BH12-(0),2)</f>
        <v>0</v>
      </c>
      <c r="BI13" s="44">
        <f>ROUND(BI12-(0),2)</f>
        <v>0</v>
      </c>
      <c r="BJ13" s="44">
        <f>ROUND(BJ12-(0),2)</f>
        <v>0</v>
      </c>
      <c r="BK13" s="44">
        <f>ROUND(BK12-(0),2)</f>
        <v>0</v>
      </c>
      <c r="BL13" s="44">
        <f>ROUND(BL12-(0),2)</f>
        <v>0</v>
      </c>
      <c r="BM13" s="13">
        <f>SUM(B13:BL13)</f>
      </c>
    </row>
    <row r="14">
      <c r="A14" s="45" t="str">
        <v>Escenario: cuotas por conciliar (NO incluidas en el flujo)</v>
      </c>
      <c r="B14" s="46">
        <v>0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400000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  <c r="AI14" s="46">
        <v>0</v>
      </c>
      <c r="AJ14" s="46">
        <v>0</v>
      </c>
      <c r="AK14" s="46">
        <v>0</v>
      </c>
      <c r="AL14" s="46">
        <v>0</v>
      </c>
      <c r="AM14" s="46">
        <v>0</v>
      </c>
      <c r="AN14" s="46">
        <v>0</v>
      </c>
      <c r="AO14" s="46">
        <v>0</v>
      </c>
      <c r="AP14" s="46">
        <v>0</v>
      </c>
      <c r="AQ14" s="46">
        <v>0</v>
      </c>
      <c r="AR14" s="46">
        <v>0</v>
      </c>
      <c r="AS14" s="46">
        <v>0</v>
      </c>
      <c r="AT14" s="46">
        <v>0</v>
      </c>
      <c r="AU14" s="46">
        <v>0</v>
      </c>
      <c r="AV14" s="46">
        <v>0</v>
      </c>
      <c r="AW14" s="46">
        <v>0</v>
      </c>
      <c r="AX14" s="46">
        <v>0</v>
      </c>
      <c r="AY14" s="46">
        <v>0</v>
      </c>
      <c r="AZ14" s="46">
        <v>0</v>
      </c>
      <c r="BA14" s="46">
        <v>0</v>
      </c>
      <c r="BB14" s="46">
        <v>0</v>
      </c>
      <c r="BC14" s="46">
        <v>0</v>
      </c>
      <c r="BD14" s="46">
        <v>0</v>
      </c>
      <c r="BE14" s="46">
        <v>0</v>
      </c>
      <c r="BF14" s="46">
        <v>0</v>
      </c>
      <c r="BG14" s="46">
        <v>0</v>
      </c>
      <c r="BH14" s="46">
        <v>0</v>
      </c>
      <c r="BI14" s="46">
        <v>0</v>
      </c>
      <c r="BJ14" s="46">
        <v>0</v>
      </c>
      <c r="BK14" s="46">
        <v>0</v>
      </c>
      <c r="BL14" s="46">
        <v>0</v>
      </c>
      <c r="BM14" s="13">
        <f>SUM(B14:BL14)</f>
        <v>400000</v>
      </c>
    </row>
  </sheetData>
  <mergeCells count="2">
    <mergeCell ref="A1:G1"/>
    <mergeCell ref="A2:O2"/>
  </mergeCells>
  <ignoredErrors>
    <ignoredError numberStoredAsText="1" sqref="A1:B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Allegria Foods</vt:lpstr>
      <vt:lpstr>Parametros</vt:lpstr>
      <vt:lpstr>Servicio deuda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